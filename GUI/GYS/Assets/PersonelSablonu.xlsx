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w/Embedded System/GYS/v7/GUI/GYS/Assets/"/>
    </mc:Choice>
  </mc:AlternateContent>
  <xr:revisionPtr revIDLastSave="0" documentId="13_ncr:1_{78D65ADC-46DD-D945-890D-E684182A1E8C}" xr6:coauthVersionLast="47" xr6:coauthVersionMax="47" xr10:uidLastSave="{00000000-0000-0000-0000-000000000000}"/>
  <bookViews>
    <workbookView xWindow="0" yWindow="660" windowWidth="34560" windowHeight="19800" activeTab="2" xr2:uid="{00000000-000D-0000-FFFF-FFFF00000000}"/>
  </bookViews>
  <sheets>
    <sheet name="Veri Girişi" sheetId="2" r:id="rId1"/>
    <sheet name="Fazla Mesai Detayı" sheetId="3" r:id="rId2"/>
    <sheet name="Öze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G3" i="2"/>
  <c r="B3" i="3" s="1"/>
  <c r="G4" i="2"/>
  <c r="G5" i="2"/>
  <c r="F5" i="3" s="1"/>
  <c r="G6" i="2"/>
  <c r="A6" i="3" s="1"/>
  <c r="G7" i="2"/>
  <c r="F7" i="3" s="1"/>
  <c r="G8" i="2"/>
  <c r="A8" i="3" s="1"/>
  <c r="G9" i="2"/>
  <c r="F9" i="3" s="1"/>
  <c r="G10" i="2"/>
  <c r="C10" i="3" s="1"/>
  <c r="G11" i="2"/>
  <c r="F11" i="3" s="1"/>
  <c r="G12" i="2"/>
  <c r="C12" i="3" s="1"/>
  <c r="G13" i="2"/>
  <c r="F13" i="3" s="1"/>
  <c r="G14" i="2"/>
  <c r="G15" i="2"/>
  <c r="C15" i="3" s="1"/>
  <c r="G16" i="2"/>
  <c r="G17" i="2"/>
  <c r="F17" i="3" s="1"/>
  <c r="G18" i="2"/>
  <c r="C18" i="3" s="1"/>
  <c r="G19" i="2"/>
  <c r="G20" i="2"/>
  <c r="C20" i="3" s="1"/>
  <c r="G21" i="2"/>
  <c r="F21" i="3" s="1"/>
  <c r="G22" i="2"/>
  <c r="C22" i="3" s="1"/>
  <c r="G23" i="2"/>
  <c r="F23" i="3" s="1"/>
  <c r="G24" i="2"/>
  <c r="C24" i="3" s="1"/>
  <c r="G25" i="2"/>
  <c r="F25" i="3" s="1"/>
  <c r="G26" i="2"/>
  <c r="E26" i="3" s="1"/>
  <c r="G27" i="2"/>
  <c r="G28" i="2"/>
  <c r="G29" i="2"/>
  <c r="F29" i="3" s="1"/>
  <c r="G30" i="2"/>
  <c r="A30" i="3" s="1"/>
  <c r="G31" i="2"/>
  <c r="D31" i="3" s="1"/>
  <c r="G32" i="2"/>
  <c r="C32" i="3" s="1"/>
  <c r="G33" i="2"/>
  <c r="F33" i="3" s="1"/>
  <c r="A3" i="3"/>
  <c r="D3" i="3"/>
  <c r="F3" i="3"/>
  <c r="A4" i="3"/>
  <c r="B4" i="3"/>
  <c r="C4" i="3"/>
  <c r="D4" i="3"/>
  <c r="E4" i="3"/>
  <c r="F4" i="3"/>
  <c r="A5" i="3"/>
  <c r="D5" i="3"/>
  <c r="C6" i="3"/>
  <c r="E6" i="3"/>
  <c r="F6" i="3"/>
  <c r="A7" i="3"/>
  <c r="B7" i="3"/>
  <c r="C7" i="3"/>
  <c r="D7" i="3"/>
  <c r="E7" i="3"/>
  <c r="F8" i="3"/>
  <c r="C9" i="3"/>
  <c r="D9" i="3"/>
  <c r="B11" i="3"/>
  <c r="C11" i="3"/>
  <c r="D11" i="3"/>
  <c r="B13" i="3"/>
  <c r="C13" i="3"/>
  <c r="D13" i="3"/>
  <c r="A14" i="3"/>
  <c r="B14" i="3"/>
  <c r="C14" i="3"/>
  <c r="D14" i="3"/>
  <c r="E14" i="3"/>
  <c r="F14" i="3"/>
  <c r="A15" i="3"/>
  <c r="B15" i="3"/>
  <c r="E15" i="3"/>
  <c r="A16" i="3"/>
  <c r="B16" i="3"/>
  <c r="C16" i="3"/>
  <c r="D16" i="3"/>
  <c r="E16" i="3"/>
  <c r="F16" i="3"/>
  <c r="A17" i="3"/>
  <c r="B17" i="3"/>
  <c r="A19" i="3"/>
  <c r="B19" i="3"/>
  <c r="C19" i="3"/>
  <c r="D19" i="3"/>
  <c r="E19" i="3"/>
  <c r="F19" i="3"/>
  <c r="B21" i="3"/>
  <c r="B23" i="3"/>
  <c r="C23" i="3"/>
  <c r="D23" i="3"/>
  <c r="B25" i="3"/>
  <c r="C25" i="3"/>
  <c r="D25" i="3"/>
  <c r="A26" i="3"/>
  <c r="B26" i="3"/>
  <c r="C26" i="3"/>
  <c r="D26" i="3"/>
  <c r="F26" i="3"/>
  <c r="A27" i="3"/>
  <c r="B27" i="3"/>
  <c r="C27" i="3"/>
  <c r="D27" i="3"/>
  <c r="E27" i="3"/>
  <c r="F27" i="3"/>
  <c r="A28" i="3"/>
  <c r="B28" i="3"/>
  <c r="C28" i="3"/>
  <c r="D28" i="3"/>
  <c r="E28" i="3"/>
  <c r="F28" i="3"/>
  <c r="E30" i="3"/>
  <c r="F30" i="3"/>
  <c r="B3" i="4" a="1"/>
  <c r="B3" i="4" s="1"/>
  <c r="F31" i="3" l="1"/>
  <c r="C31" i="3"/>
  <c r="B31" i="3"/>
  <c r="A31" i="3"/>
  <c r="B5" i="4" a="1"/>
  <c r="B5" i="4" s="1"/>
  <c r="E32" i="3"/>
  <c r="B29" i="3"/>
  <c r="F15" i="3"/>
  <c r="E8" i="3"/>
  <c r="B6" i="3"/>
  <c r="E3" i="3"/>
  <c r="B33" i="3"/>
  <c r="C30" i="3"/>
  <c r="B9" i="3"/>
  <c r="A9" i="3"/>
  <c r="F32" i="3"/>
  <c r="C29" i="3"/>
  <c r="A29" i="3"/>
  <c r="F18" i="3"/>
  <c r="C8" i="3"/>
  <c r="D17" i="3"/>
  <c r="B6" i="4" a="1"/>
  <c r="B6" i="4" s="1"/>
  <c r="A33" i="3"/>
  <c r="D29" i="3"/>
  <c r="B4" i="4" a="1"/>
  <c r="B4" i="4" s="1"/>
  <c r="E31" i="3"/>
  <c r="D21" i="3"/>
  <c r="D15" i="3"/>
  <c r="B8" i="3"/>
  <c r="C5" i="3"/>
  <c r="C3" i="3"/>
  <c r="C21" i="3"/>
  <c r="C17" i="3"/>
  <c r="A13" i="3"/>
  <c r="B5" i="3"/>
  <c r="D33" i="3"/>
  <c r="A21" i="3"/>
  <c r="F20" i="3"/>
  <c r="C33" i="3"/>
  <c r="F22" i="3"/>
  <c r="F10" i="3"/>
  <c r="E24" i="3"/>
  <c r="E22" i="3"/>
  <c r="E20" i="3"/>
  <c r="E10" i="3"/>
  <c r="B32" i="3"/>
  <c r="B30" i="3"/>
  <c r="B22" i="3"/>
  <c r="B12" i="3"/>
  <c r="E33" i="3"/>
  <c r="E29" i="3"/>
  <c r="E25" i="3"/>
  <c r="E23" i="3"/>
  <c r="E21" i="3"/>
  <c r="E17" i="3"/>
  <c r="E13" i="3"/>
  <c r="E11" i="3"/>
  <c r="E9" i="3"/>
  <c r="E5" i="3"/>
  <c r="A11" i="3"/>
  <c r="A25" i="3"/>
  <c r="F12" i="3"/>
  <c r="D32" i="3"/>
  <c r="D30" i="3"/>
  <c r="D24" i="3"/>
  <c r="D22" i="3"/>
  <c r="D20" i="3"/>
  <c r="D18" i="3"/>
  <c r="D12" i="3"/>
  <c r="D10" i="3"/>
  <c r="D8" i="3"/>
  <c r="D6" i="3"/>
  <c r="A23" i="3"/>
  <c r="F24" i="3"/>
  <c r="B24" i="3"/>
  <c r="B20" i="3"/>
  <c r="B18" i="3"/>
  <c r="B10" i="3"/>
  <c r="A32" i="3"/>
  <c r="A24" i="3"/>
  <c r="A22" i="3"/>
  <c r="A20" i="3"/>
  <c r="A18" i="3"/>
  <c r="A12" i="3"/>
  <c r="A10" i="3"/>
  <c r="E18" i="3"/>
  <c r="E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<sst xmlns="http://schemas.openxmlformats.org/spreadsheetml/2006/main" count="21" uniqueCount="19">
  <si>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Personel Çalışma Süresi Takip Tablosu</t>
  </si>
  <si>
    <t>Tarih</t>
  </si>
  <si>
    <t>Personel</t>
  </si>
  <si>
    <t>Giriş Saati</t>
  </si>
  <si>
    <t>Çıkış Saati</t>
  </si>
  <si>
    <t>Mola (saat)</t>
  </si>
  <si>
    <t>Zorunlu Mesai</t>
  </si>
  <si>
    <t>Fazla Mesai</t>
  </si>
  <si>
    <t>Fazla Mesai Detayları</t>
  </si>
  <si>
    <t>Mesai Başlangıç</t>
  </si>
  <si>
    <t>Mesai Bitiş</t>
  </si>
  <si>
    <t>Fazla Mesai (saat)</t>
  </si>
  <si>
    <t>Açıklama</t>
  </si>
  <si>
    <t>Çalışma Süresi Özeti</t>
  </si>
  <si>
    <t>Toplam kayıt sayısı</t>
  </si>
  <si>
    <t>Toplam normal çalışma saati</t>
  </si>
  <si>
    <t>Toplam fazla mesai saati</t>
  </si>
  <si>
    <t>Fazla mesai yapan kayıt sayısı</t>
  </si>
  <si>
    <t>En yüksek fazla mesai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</si>
</sst>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\ dddd"/>
  </numFmts>
  <fonts count="8">
    <font>
      <sz val="11"/>
      <color indexed="8"/>
      <name val="Carlito"/>
    </font>
    <font>
      <b/>
      <sz val="14"/>
      <color indexed="12"/>
      <name val="Carlito"/>
    </font>
    <font>
      <b/>
      <sz val="11"/>
      <color indexed="12"/>
      <name val="Carlito"/>
    </font>
    <font>
      <b/>
      <sz val="11"/>
      <color indexed="8"/>
      <name val="Carlito"/>
    </font>
    <font>
      <sz val="11"/>
      <color theme="1"/>
      <name val="Carlito"/>
    </font>
    <font>
      <b/>
      <sz val="11"/>
      <color theme="1" tint="4.9989318521683403E-2"/>
      <name val="Carlito"/>
    </font>
    <font>
      <sz val="11"/>
      <color rgb="FF000000"/>
      <name val="Carlito"/>
      <family val="2"/>
    </font>
    <font>
      <sz val="11"/>
      <color rgb="FFFF0000"/>
      <name val="Carlito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</fills>
  <borders count="8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4"/>
      </right>
      <top style="thin">
        <color indexed="14"/>
      </top>
      <bottom/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/>
    <xf numFmtId="2" fontId="4" fillId="0" borderId="3" xfId="0" applyNumberFormat="1" applyFont="1" applyFill="1" applyBorder="1"/>
    <xf numFmtId="164" fontId="4" fillId="0" borderId="3" xfId="0" applyNumberFormat="1" applyFont="1" applyFill="1" applyBorder="1" applyAlignment="1">
      <alignment horizontal="left" vertical="center" wrapText="1"/>
    </xf>
    <xf numFmtId="20" fontId="4" fillId="0" borderId="3" xfId="0" applyNumberFormat="1" applyFont="1" applyFill="1" applyBorder="1" applyAlignment="1">
      <alignment horizontal="center" vertical="center" wrapText="1"/>
    </xf>
    <xf numFmtId="2" fontId="4" fillId="0" borderId="3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Protection="1"/>
    <xf numFmtId="0" fontId="7" fillId="0" borderId="0" xfId="0" applyNumberFormat="1" applyFont="1" applyFill="1" applyProtection="1"/>
    <xf numFmtId="49" fontId="2" fillId="7" borderId="3" xfId="0" applyNumberFormat="1" applyFont="1" applyFill="1" applyBorder="1" applyAlignment="1" applyProtection="1">
      <alignment horizontal="center" vertical="center" wrapText="1"/>
    </xf>
    <xf numFmtId="164" fontId="4" fillId="4" borderId="3" xfId="0" applyNumberFormat="1" applyFont="1" applyFill="1" applyBorder="1" applyAlignment="1" applyProtection="1">
      <alignment horizontal="left" vertical="center" wrapText="1"/>
    </xf>
    <xf numFmtId="20" fontId="4" fillId="4" borderId="3" xfId="0" applyNumberFormat="1" applyFont="1" applyFill="1" applyBorder="1" applyAlignment="1" applyProtection="1">
      <alignment horizontal="center" vertical="center" wrapText="1"/>
    </xf>
    <xf numFmtId="2" fontId="4" fillId="4" borderId="3" xfId="0" applyNumberFormat="1" applyFont="1" applyFill="1" applyBorder="1" applyAlignment="1" applyProtection="1">
      <alignment horizontal="left" vertical="center" wrapText="1"/>
    </xf>
    <xf numFmtId="49" fontId="3" fillId="9" borderId="3" xfId="0" applyNumberFormat="1" applyFont="1" applyFill="1" applyBorder="1" applyAlignment="1" applyProtection="1">
      <alignment horizontal="left"/>
    </xf>
    <xf numFmtId="2" fontId="3" fillId="10" borderId="3" xfId="0" applyNumberFormat="1" applyFont="1" applyFill="1" applyBorder="1" applyAlignment="1" applyProtection="1">
      <alignment horizontal="center"/>
    </xf>
    <xf numFmtId="0" fontId="0" fillId="0" borderId="0" xfId="0" applyFill="1"/>
    <xf numFmtId="49" fontId="4" fillId="4" borderId="3" xfId="0" applyNumberFormat="1" applyFont="1" applyFill="1" applyBorder="1" applyAlignment="1" applyProtection="1">
      <alignment horizontal="center" vertical="center" wrapText="1"/>
    </xf>
    <xf numFmtId="2" fontId="4" fillId="4" borderId="3" xfId="0" applyNumberFormat="1" applyFont="1" applyFill="1" applyBorder="1" applyAlignment="1" applyProtection="1">
      <alignment horizontal="center" vertical="center" wrapText="1"/>
    </xf>
    <xf numFmtId="164" fontId="4" fillId="5" borderId="3" xfId="0" applyNumberFormat="1" applyFont="1" applyFill="1" applyBorder="1" applyAlignment="1" applyProtection="1">
      <alignment horizontal="left" vertical="center" wrapText="1"/>
    </xf>
    <xf numFmtId="49" fontId="4" fillId="5" borderId="3" xfId="0" applyNumberFormat="1" applyFont="1" applyFill="1" applyBorder="1" applyAlignment="1" applyProtection="1">
      <alignment horizontal="center" vertical="center" wrapText="1"/>
    </xf>
    <xf numFmtId="20" fontId="4" fillId="5" borderId="3" xfId="0" applyNumberFormat="1" applyFont="1" applyFill="1" applyBorder="1" applyAlignment="1" applyProtection="1">
      <alignment horizontal="center" vertical="center" wrapText="1"/>
    </xf>
    <xf numFmtId="2" fontId="4" fillId="5" borderId="3" xfId="0" applyNumberFormat="1" applyFont="1" applyFill="1" applyBorder="1" applyAlignment="1" applyProtection="1">
      <alignment horizontal="center" vertical="center" wrapText="1"/>
    </xf>
    <xf numFmtId="2" fontId="4" fillId="0" borderId="3" xfId="0" applyNumberFormat="1" applyFont="1" applyFill="1" applyBorder="1" applyAlignment="1" applyProtection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49" fontId="1" fillId="6" borderId="3" xfId="0" applyNumberFormat="1" applyFont="1" applyFill="1" applyBorder="1" applyAlignment="1" applyProtection="1">
      <alignment horizontal="center" vertical="center"/>
    </xf>
    <xf numFmtId="0" fontId="0" fillId="0" borderId="3" xfId="0" applyBorder="1"/>
    <xf numFmtId="49" fontId="1" fillId="8" borderId="1" xfId="0" applyNumberFormat="1" applyFont="1" applyFill="1" applyBorder="1" applyAlignment="1" applyProtection="1">
      <alignment horizontal="center" vertical="center"/>
    </xf>
    <xf numFmtId="0" fontId="0" fillId="0" borderId="7" xfId="0" applyBorder="1"/>
    <xf numFmtId="0" fontId="0" fillId="0" borderId="2" xfId="0" applyBorder="1"/>
  </cellXfs>
  <cellStyles count="1">
    <cellStyle name="Normal" xfId="0" builtinId="0"/>
  </cellStyles>
  <dxfs count="10">
    <dxf>
      <font>
        <color theme="1"/>
      </font>
      <fill>
        <patternFill patternType="solid">
          <fgColor auto="1"/>
          <bgColor rgb="FF6192B0"/>
        </patternFill>
      </fill>
    </dxf>
    <dxf>
      <font>
        <b/>
        <color rgb="FFC00000"/>
      </font>
      <fill>
        <patternFill patternType="solid">
          <fgColor auto="1"/>
          <bgColor indexed="20"/>
        </patternFill>
      </fill>
    </dxf>
    <dxf>
      <font>
        <color theme="1"/>
      </font>
    </dxf>
    <dxf>
      <font>
        <color rgb="FFFF0000"/>
      </font>
    </dxf>
    <dxf>
      <font>
        <color rgb="FFFF0000"/>
      </font>
    </dxf>
    <dxf>
      <font>
        <color theme="1" tint="4.9989318521683403E-2"/>
      </font>
      <fill>
        <patternFill patternType="solid">
          <fgColor auto="1"/>
          <bgColor rgb="FF6192B0"/>
        </patternFill>
      </fill>
    </dxf>
    <dxf>
      <font>
        <b/>
        <color rgb="FFC00000"/>
      </font>
      <fill>
        <patternFill patternType="solid">
          <fgColor auto="1"/>
          <bgColor indexed="20"/>
        </patternFill>
      </fill>
    </dxf>
    <dxf>
      <font>
        <color theme="1" tint="4.9989318521683403E-2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AAAAAA"/>
      <rgbColor rgb="FF4EA72E"/>
      <rgbColor rgb="FF5B9BD5"/>
      <rgbColor rgb="FFFF0000"/>
      <rgbColor rgb="FFDBEDD5"/>
      <rgbColor rgb="00000000"/>
      <rgbColor rgb="FFFCE4D6"/>
      <rgbColor rgb="FFC00000"/>
      <rgbColor rgb="FF7030A0"/>
      <rgbColor rgb="FF729FB3"/>
      <rgbColor rgb="FFA64DCC"/>
      <rgbColor rgb="FFD0DFE5"/>
      <rgbColor rgb="FF548235"/>
      <rgbColor rgb="FFE2F0D9"/>
      <rgbColor rgb="FFF8F9FA"/>
      <rgbColor rgb="FFD9EAD3"/>
      <rgbColor rgb="FFD9D9D9"/>
      <rgbColor rgb="FF878787"/>
      <rgbColor rgb="FFCCCCCC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192B0"/>
      <color rgb="FFFBE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8.2111199999999995E-2"/>
          <c:y val="6.9147600000000004E-2"/>
          <c:w val="0.91288899999999995"/>
          <c:h val="0.70825700000000003"/>
        </c:manualLayout>
      </c:layout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Ref>
              <c:f>Özet!$A$3:$A$4</c:f>
              <c:strCache>
                <c:ptCount val="2"/>
                <c:pt idx="0">
                  <c:v>Toplam normal çalışma saati</c:v>
                </c:pt>
                <c:pt idx="1">
                  <c:v>Toplam fazla mesai saati</c:v>
                </c:pt>
              </c:strCache>
            </c:strRef>
          </c:cat>
          <c:val>
            <c:numRef>
              <c:f>Özet!$B$3:$B$4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D-144E-B27B-958EE017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TR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CCCCC"/>
              </a:solidFill>
              <a:prstDash val="dash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000" b="0" i="0" u="none" strike="noStrike">
                <a:solidFill>
                  <a:srgbClr val="000000"/>
                </a:solidFill>
                <a:latin typeface="Calibri"/>
              </a:defRPr>
            </a:pPr>
            <a:endParaRPr lang="en-TR"/>
          </a:p>
        </c:txPr>
        <c:crossAx val="2094734552"/>
        <c:crosses val="autoZero"/>
        <c:crossBetween val="between"/>
        <c:majorUnit val="60"/>
        <c:minorUnit val="3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44555600000000001"/>
          <c:y val="0.91835199999999995"/>
          <c:w val="0.11529499999999999"/>
          <c:h val="8.1647600000000001E-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sz="1000" b="0" i="0" u="none" strike="noStrike">
              <a:solidFill>
                <a:srgbClr val="000000"/>
              </a:solidFill>
              <a:latin typeface="Calibri"/>
            </a:defRPr>
          </a:pPr>
          <a:endParaRPr lang="en-TR"/>
        </a:p>
      </c:txPr>
    </c:legend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24523</xdr:colOff>
      <xdr:row>1</xdr:row>
      <xdr:rowOff>12700</xdr:rowOff>
    </xdr:from>
    <xdr:to>
      <xdr:col>4</xdr:col>
      <xdr:colOff>1193800</xdr:colOff>
      <xdr:row>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zoomScale="135" zoomScaleNormal="135" workbookViewId="0">
      <selection activeCell="D22" sqref="D22"/>
    </sheetView>
  </sheetViews>
  <sheetFormatPr baseColWidth="10" defaultColWidth="9" defaultRowHeight="14.25" customHeight="1"/>
  <cols>
    <col min="1" max="1" width="28.83203125" customWidth="1"/>
    <col min="2" max="2" width="41.1640625" customWidth="1"/>
    <col min="3" max="3" width="13" customWidth="1"/>
    <col min="4" max="4" width="15" customWidth="1"/>
    <col min="5" max="5" width="12" customWidth="1"/>
    <col min="6" max="6" width="16" customWidth="1"/>
    <col min="7" max="7" width="14" customWidth="1"/>
    <col min="8" max="8" width="8.83203125" customWidth="1"/>
  </cols>
  <sheetData>
    <row r="1" spans="1:9" ht="28" customHeight="1">
      <c r="A1" s="23" t="s">
        <v>0</v>
      </c>
      <c r="B1" s="24"/>
      <c r="C1" s="24"/>
      <c r="D1" s="24"/>
      <c r="E1" s="24"/>
      <c r="F1" s="24"/>
      <c r="G1" s="25"/>
    </row>
    <row r="2" spans="1:9" ht="1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9" ht="15" customHeight="1">
      <c r="A3" s="9"/>
      <c r="B3" s="15"/>
      <c r="C3" s="10"/>
      <c r="D3" s="10"/>
      <c r="E3" s="16"/>
      <c r="F3" s="16"/>
      <c r="G3" s="21" t="str">
        <f t="shared" ref="G3:G33" si="0">IF(OR(C3="", D3="", E3="", F3=""), "", (D3-C3)*24 - E3 - F3)</f>
        <v/>
      </c>
      <c r="H3" s="6"/>
      <c r="I3" s="6"/>
    </row>
    <row r="4" spans="1:9" ht="15" customHeight="1">
      <c r="A4" s="17"/>
      <c r="B4" s="18"/>
      <c r="C4" s="19"/>
      <c r="D4" s="19"/>
      <c r="E4" s="20"/>
      <c r="F4" s="20"/>
      <c r="G4" s="21" t="str">
        <f t="shared" si="0"/>
        <v/>
      </c>
      <c r="H4" s="6"/>
      <c r="I4" s="6"/>
    </row>
    <row r="5" spans="1:9" ht="15" customHeight="1">
      <c r="A5" s="9"/>
      <c r="B5" s="15"/>
      <c r="C5" s="10"/>
      <c r="D5" s="10"/>
      <c r="E5" s="16"/>
      <c r="F5" s="16"/>
      <c r="G5" s="21" t="str">
        <f t="shared" si="0"/>
        <v/>
      </c>
      <c r="H5" s="6"/>
      <c r="I5" s="6"/>
    </row>
    <row r="6" spans="1:9" ht="15" customHeight="1">
      <c r="A6" s="17"/>
      <c r="B6" s="18"/>
      <c r="C6" s="19"/>
      <c r="D6" s="19"/>
      <c r="E6" s="20"/>
      <c r="F6" s="20"/>
      <c r="G6" s="21" t="str">
        <f t="shared" si="0"/>
        <v/>
      </c>
      <c r="H6" s="6"/>
      <c r="I6" s="6"/>
    </row>
    <row r="7" spans="1:9" ht="15" customHeight="1">
      <c r="A7" s="9"/>
      <c r="B7" s="15"/>
      <c r="C7" s="10"/>
      <c r="D7" s="10"/>
      <c r="E7" s="16"/>
      <c r="F7" s="16"/>
      <c r="G7" s="21" t="str">
        <f t="shared" si="0"/>
        <v/>
      </c>
      <c r="H7" s="6"/>
      <c r="I7" s="6"/>
    </row>
    <row r="8" spans="1:9" ht="15" customHeight="1">
      <c r="A8" s="17"/>
      <c r="B8" s="18"/>
      <c r="C8" s="19"/>
      <c r="D8" s="19"/>
      <c r="E8" s="20"/>
      <c r="F8" s="20"/>
      <c r="G8" s="21" t="str">
        <f t="shared" si="0"/>
        <v/>
      </c>
      <c r="H8" s="7"/>
      <c r="I8" s="7"/>
    </row>
    <row r="9" spans="1:9" ht="13.5" customHeight="1">
      <c r="A9" s="9"/>
      <c r="B9" s="15"/>
      <c r="C9" s="10"/>
      <c r="D9" s="10"/>
      <c r="E9" s="16"/>
      <c r="F9" s="16"/>
      <c r="G9" s="21" t="str">
        <f t="shared" si="0"/>
        <v/>
      </c>
      <c r="H9" s="7"/>
      <c r="I9" s="7"/>
    </row>
    <row r="10" spans="1:9" ht="13.5" customHeight="1">
      <c r="A10" s="17"/>
      <c r="B10" s="18"/>
      <c r="C10" s="19"/>
      <c r="D10" s="19"/>
      <c r="E10" s="20"/>
      <c r="F10" s="20"/>
      <c r="G10" s="21" t="str">
        <f t="shared" si="0"/>
        <v/>
      </c>
      <c r="H10" s="6"/>
      <c r="I10" s="6"/>
    </row>
    <row r="11" spans="1:9" ht="15" customHeight="1">
      <c r="A11" s="9"/>
      <c r="B11" s="15"/>
      <c r="C11" s="10"/>
      <c r="D11" s="10"/>
      <c r="E11" s="16"/>
      <c r="F11" s="16"/>
      <c r="G11" s="21" t="str">
        <f t="shared" si="0"/>
        <v/>
      </c>
      <c r="H11" s="6"/>
      <c r="I11" s="6"/>
    </row>
    <row r="12" spans="1:9" ht="15" customHeight="1">
      <c r="A12" s="17"/>
      <c r="B12" s="18"/>
      <c r="C12" s="19"/>
      <c r="D12" s="19"/>
      <c r="E12" s="20"/>
      <c r="F12" s="20"/>
      <c r="G12" s="21" t="str">
        <f t="shared" si="0"/>
        <v/>
      </c>
      <c r="H12" s="6"/>
      <c r="I12" s="6"/>
    </row>
    <row r="13" spans="1:9" ht="13.5" customHeight="1">
      <c r="A13" s="9"/>
      <c r="B13" s="15"/>
      <c r="C13" s="10"/>
      <c r="D13" s="10"/>
      <c r="E13" s="16"/>
      <c r="F13" s="16"/>
      <c r="G13" s="21" t="str">
        <f t="shared" si="0"/>
        <v/>
      </c>
      <c r="H13" s="6"/>
      <c r="I13" s="6"/>
    </row>
    <row r="14" spans="1:9" ht="13.5" customHeight="1">
      <c r="A14" s="17"/>
      <c r="B14" s="18"/>
      <c r="C14" s="19"/>
      <c r="D14" s="19"/>
      <c r="E14" s="20"/>
      <c r="F14" s="20"/>
      <c r="G14" s="21" t="str">
        <f t="shared" si="0"/>
        <v/>
      </c>
      <c r="H14" s="6"/>
      <c r="I14" s="6"/>
    </row>
    <row r="15" spans="1:9" ht="13.5" customHeight="1">
      <c r="A15" s="9"/>
      <c r="B15" s="15"/>
      <c r="C15" s="10"/>
      <c r="D15" s="10"/>
      <c r="E15" s="16"/>
      <c r="F15" s="16"/>
      <c r="G15" s="21" t="str">
        <f t="shared" si="0"/>
        <v/>
      </c>
      <c r="H15" s="7"/>
      <c r="I15" s="7"/>
    </row>
    <row r="16" spans="1:9" ht="15" customHeight="1">
      <c r="A16" s="17"/>
      <c r="B16" s="18"/>
      <c r="C16" s="19"/>
      <c r="D16" s="19"/>
      <c r="E16" s="20"/>
      <c r="F16" s="20"/>
      <c r="G16" s="21" t="str">
        <f t="shared" si="0"/>
        <v/>
      </c>
      <c r="H16" s="7"/>
      <c r="I16" s="7"/>
    </row>
    <row r="17" spans="1:10" ht="15" customHeight="1">
      <c r="A17" s="9"/>
      <c r="B17" s="15"/>
      <c r="C17" s="10"/>
      <c r="D17" s="10"/>
      <c r="E17" s="16"/>
      <c r="F17" s="16"/>
      <c r="G17" s="21" t="str">
        <f t="shared" si="0"/>
        <v/>
      </c>
      <c r="H17" s="6"/>
      <c r="I17" s="6"/>
    </row>
    <row r="18" spans="1:10" ht="15" customHeight="1">
      <c r="A18" s="17"/>
      <c r="B18" s="18"/>
      <c r="C18" s="19"/>
      <c r="D18" s="19"/>
      <c r="E18" s="20"/>
      <c r="F18" s="20"/>
      <c r="G18" s="21" t="str">
        <f t="shared" si="0"/>
        <v/>
      </c>
      <c r="H18" s="6"/>
      <c r="I18" s="6"/>
    </row>
    <row r="19" spans="1:10" ht="13.5" customHeight="1">
      <c r="A19" s="9"/>
      <c r="B19" s="15"/>
      <c r="C19" s="10"/>
      <c r="D19" s="10"/>
      <c r="E19" s="16"/>
      <c r="F19" s="16"/>
      <c r="G19" s="21" t="str">
        <f t="shared" si="0"/>
        <v/>
      </c>
      <c r="H19" s="6"/>
      <c r="I19" s="6"/>
    </row>
    <row r="20" spans="1:10" ht="13.5" customHeight="1">
      <c r="A20" s="17"/>
      <c r="B20" s="18"/>
      <c r="C20" s="19"/>
      <c r="D20" s="19"/>
      <c r="E20" s="20"/>
      <c r="F20" s="20"/>
      <c r="G20" s="21" t="str">
        <f t="shared" si="0"/>
        <v/>
      </c>
      <c r="H20" s="6"/>
      <c r="I20" s="6"/>
    </row>
    <row r="21" spans="1:10" ht="13.5" customHeight="1">
      <c r="A21" s="9"/>
      <c r="B21" s="15"/>
      <c r="C21" s="10"/>
      <c r="D21" s="10"/>
      <c r="E21" s="16"/>
      <c r="F21" s="16"/>
      <c r="G21" s="21" t="str">
        <f t="shared" si="0"/>
        <v/>
      </c>
      <c r="H21" s="6"/>
      <c r="I21" s="6"/>
    </row>
    <row r="22" spans="1:10" ht="13.5" customHeight="1">
      <c r="A22" s="17"/>
      <c r="B22" s="18"/>
      <c r="C22" s="19"/>
      <c r="D22" s="19"/>
      <c r="E22" s="20"/>
      <c r="F22" s="20"/>
      <c r="G22" s="21" t="str">
        <f t="shared" si="0"/>
        <v/>
      </c>
      <c r="H22" s="7"/>
      <c r="I22" s="7"/>
    </row>
    <row r="23" spans="1:10" ht="13.5" customHeight="1">
      <c r="A23" s="9"/>
      <c r="B23" s="15"/>
      <c r="C23" s="10"/>
      <c r="D23" s="10"/>
      <c r="E23" s="16"/>
      <c r="F23" s="16"/>
      <c r="G23" s="21" t="str">
        <f t="shared" si="0"/>
        <v/>
      </c>
      <c r="H23" s="7"/>
      <c r="I23" s="7"/>
    </row>
    <row r="24" spans="1:10" ht="13.5" customHeight="1">
      <c r="A24" s="17"/>
      <c r="B24" s="18"/>
      <c r="C24" s="19"/>
      <c r="D24" s="19"/>
      <c r="E24" s="20"/>
      <c r="F24" s="20"/>
      <c r="G24" s="21" t="str">
        <f t="shared" si="0"/>
        <v/>
      </c>
      <c r="H24" s="6"/>
      <c r="I24" s="6"/>
    </row>
    <row r="25" spans="1:10" ht="13.5" customHeight="1">
      <c r="A25" s="9"/>
      <c r="B25" s="15"/>
      <c r="C25" s="10"/>
      <c r="D25" s="10"/>
      <c r="E25" s="16"/>
      <c r="F25" s="16"/>
      <c r="G25" s="21" t="str">
        <f t="shared" si="0"/>
        <v/>
      </c>
      <c r="H25" s="6"/>
      <c r="I25" s="6"/>
    </row>
    <row r="26" spans="1:10" ht="13.5" customHeight="1">
      <c r="A26" s="17"/>
      <c r="B26" s="18"/>
      <c r="C26" s="19"/>
      <c r="D26" s="19"/>
      <c r="E26" s="20"/>
      <c r="F26" s="20"/>
      <c r="G26" s="21" t="str">
        <f t="shared" si="0"/>
        <v/>
      </c>
      <c r="H26" s="6"/>
      <c r="I26" s="6"/>
    </row>
    <row r="27" spans="1:10" ht="13.5" customHeight="1">
      <c r="A27" s="9"/>
      <c r="B27" s="15"/>
      <c r="C27" s="10"/>
      <c r="D27" s="10"/>
      <c r="E27" s="16"/>
      <c r="F27" s="16"/>
      <c r="G27" s="21" t="str">
        <f t="shared" si="0"/>
        <v/>
      </c>
      <c r="H27" s="6"/>
      <c r="I27" s="6"/>
    </row>
    <row r="28" spans="1:10" ht="13.5" customHeight="1">
      <c r="A28" s="17"/>
      <c r="B28" s="18"/>
      <c r="C28" s="19"/>
      <c r="D28" s="19"/>
      <c r="E28" s="20"/>
      <c r="F28" s="20"/>
      <c r="G28" s="21" t="str">
        <f t="shared" si="0"/>
        <v/>
      </c>
      <c r="H28" s="6"/>
      <c r="I28" s="6"/>
    </row>
    <row r="29" spans="1:10" ht="15" customHeight="1">
      <c r="A29" s="9"/>
      <c r="B29" s="15"/>
      <c r="C29" s="10"/>
      <c r="D29" s="10"/>
      <c r="E29" s="16"/>
      <c r="F29" s="16"/>
      <c r="G29" s="21" t="str">
        <f t="shared" si="0"/>
        <v/>
      </c>
      <c r="H29" s="7"/>
      <c r="I29" s="7"/>
    </row>
    <row r="30" spans="1:10" ht="15" customHeight="1">
      <c r="A30" s="17"/>
      <c r="B30" s="18"/>
      <c r="C30" s="19"/>
      <c r="D30" s="19"/>
      <c r="E30" s="20"/>
      <c r="F30" s="20"/>
      <c r="G30" s="21" t="str">
        <f t="shared" si="0"/>
        <v/>
      </c>
      <c r="H30" s="7"/>
      <c r="I30" s="7"/>
      <c r="J30" s="14"/>
    </row>
    <row r="31" spans="1:10" ht="13.5" customHeight="1">
      <c r="A31" s="9"/>
      <c r="B31" s="15"/>
      <c r="C31" s="10"/>
      <c r="D31" s="10"/>
      <c r="E31" s="16"/>
      <c r="F31" s="16"/>
      <c r="G31" s="21" t="str">
        <f t="shared" si="0"/>
        <v/>
      </c>
      <c r="H31" s="6"/>
      <c r="I31" s="6"/>
      <c r="J31" s="14"/>
    </row>
    <row r="32" spans="1:10" ht="13.5" customHeight="1">
      <c r="A32" s="17"/>
      <c r="B32" s="18"/>
      <c r="C32" s="19"/>
      <c r="D32" s="19"/>
      <c r="E32" s="20"/>
      <c r="F32" s="20"/>
      <c r="G32" s="21" t="str">
        <f t="shared" si="0"/>
        <v/>
      </c>
      <c r="H32" s="6"/>
      <c r="I32" s="6"/>
      <c r="J32" s="14"/>
    </row>
    <row r="33" spans="1:10" ht="13.5" customHeight="1">
      <c r="A33" s="9"/>
      <c r="B33" s="15"/>
      <c r="C33" s="10"/>
      <c r="D33" s="10"/>
      <c r="E33" s="16"/>
      <c r="F33" s="16"/>
      <c r="G33" s="22" t="str">
        <f t="shared" si="0"/>
        <v/>
      </c>
      <c r="H33" s="14"/>
      <c r="I33" s="14"/>
      <c r="J33" s="14"/>
    </row>
  </sheetData>
  <mergeCells count="1">
    <mergeCell ref="A1:G1"/>
  </mergeCells>
  <conditionalFormatting sqref="A3:G33">
    <cfRule type="expression" dxfId="9" priority="4">
      <formula>COUNTIF($A3, "*Cumartesi")&gt;0</formula>
    </cfRule>
    <cfRule type="expression" dxfId="8" priority="5" stopIfTrue="1">
      <formula>COUNTIF($A3, "*Pazar")&gt;0</formula>
    </cfRule>
  </conditionalFormatting>
  <conditionalFormatting sqref="G3:G33">
    <cfRule type="containsBlanks" dxfId="7" priority="1" stopIfTrue="1">
      <formula>LEN(TRIM(G3))=0</formula>
    </cfRule>
    <cfRule type="cellIs" dxfId="6" priority="2" operator="greaterThan">
      <formula>0.001</formula>
    </cfRule>
    <cfRule type="cellIs" dxfId="5" priority="3" stopIfTrue="1" operator="lessThan">
      <formula>-0.001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showGridLines="0" zoomScale="150" zoomScaleNormal="150" workbookViewId="0">
      <selection activeCell="E3" sqref="E3:E33"/>
    </sheetView>
  </sheetViews>
  <sheetFormatPr baseColWidth="10" defaultColWidth="9" defaultRowHeight="14.25" customHeight="1"/>
  <cols>
    <col min="1" max="1" width="26.1640625" customWidth="1"/>
    <col min="2" max="2" width="37" customWidth="1"/>
    <col min="3" max="3" width="16" customWidth="1"/>
    <col min="4" max="4" width="14" customWidth="1"/>
    <col min="5" max="5" width="18" customWidth="1"/>
    <col min="6" max="6" width="32" customWidth="1"/>
    <col min="7" max="7" width="8.83203125" customWidth="1"/>
  </cols>
  <sheetData>
    <row r="1" spans="1:6" ht="28" customHeight="1">
      <c r="A1" s="26" t="s">
        <v>8</v>
      </c>
      <c r="B1" s="27"/>
      <c r="C1" s="27"/>
      <c r="D1" s="27"/>
      <c r="E1" s="27"/>
      <c r="F1" s="27"/>
    </row>
    <row r="2" spans="1:6" ht="15" customHeight="1">
      <c r="A2" s="8" t="s">
        <v>1</v>
      </c>
      <c r="B2" s="8" t="s">
        <v>2</v>
      </c>
      <c r="C2" s="8" t="s">
        <v>9</v>
      </c>
      <c r="D2" s="8" t="s">
        <v>10</v>
      </c>
      <c r="E2" s="8" t="s">
        <v>11</v>
      </c>
      <c r="F2" s="8" t="s">
        <v>12</v>
      </c>
    </row>
    <row r="3" spans="1:6" ht="13.5" customHeight="1">
      <c r="A3" s="9" t="str">
        <f>IFERROR(IF(AND(ABS('Veri Girişi'!G3)&gt;0.001, 'Veri Girişi'!A3&lt;&gt;""), 'Veri Girişi'!A3, ""), "")</f>
        <v/>
      </c>
      <c r="B3" s="9" t="str">
        <f>IFERROR(IF(AND(ABS('Veri Girişi'!G3)&gt;0.001, 'Veri Girişi'!B3&lt;&gt;""), 'Veri Girişi'!B3, ""), "")</f>
        <v/>
      </c>
      <c r="C3" s="10" t="str">
        <f>IFERROR(IF(AND(ABS('Veri Girişi'!G3)&gt;0.001, 'Veri Girişi'!C3&lt;&gt;""), 'Veri Girişi'!C3, ""), "")</f>
        <v/>
      </c>
      <c r="D3" s="10" t="str">
        <f>IFERROR(IF(AND(ABS('Veri Girişi'!G3)&gt;0.001, 'Veri Girişi'!D3&lt;&gt;""), 'Veri Girişi'!D3, ""), "")</f>
        <v/>
      </c>
      <c r="E3" s="1" t="str">
        <f>IFERROR(IF(AND(ABS('Veri Girişi'!G3)&gt;0.001, 'Veri Girişi'!G3&lt;&gt;""), 'Veri Girişi'!G3, ""), "")</f>
        <v/>
      </c>
      <c r="F3" s="11" t="str">
        <f>IF(AND(ISNUMBER('Veri Girişi'!G3), 'Veri Girişi'!G3&gt;0.001), "Planlanan çıkış sonrası fazla mesai", IF(AND(ISNUMBER('Veri Girişi'!G3), 'Veri Girişi'!G3&lt;-0.001), "Planlanan çıkıştan önce çıkılmış", ""))</f>
        <v/>
      </c>
    </row>
    <row r="4" spans="1:6" ht="13.5" customHeight="1">
      <c r="A4" s="2" t="str">
        <f>IFERROR(IF(AND(ABS('Veri Girişi'!G4)&gt;0.001, 'Veri Girişi'!A4&lt;&gt;""), 'Veri Girişi'!A4, ""), "")</f>
        <v/>
      </c>
      <c r="B4" s="2" t="str">
        <f>IFERROR(IF(AND(ABS('Veri Girişi'!G4)&gt;0.001, 'Veri Girişi'!B4&lt;&gt;""), 'Veri Girişi'!B4, ""), "")</f>
        <v/>
      </c>
      <c r="C4" s="3" t="str">
        <f>IFERROR(IF(AND(ABS('Veri Girişi'!G4)&gt;0.001, 'Veri Girişi'!C4&lt;&gt;""), 'Veri Girişi'!C4, ""), "")</f>
        <v/>
      </c>
      <c r="D4" s="3" t="str">
        <f>IFERROR(IF(AND(ABS('Veri Girişi'!G4)&gt;0.001, 'Veri Girişi'!D4&lt;&gt;""), 'Veri Girişi'!D4, ""), "")</f>
        <v/>
      </c>
      <c r="E4" s="1" t="str">
        <f>IFERROR(IF(AND(ABS('Veri Girişi'!G4)&gt;0.001, 'Veri Girişi'!G4&lt;&gt;""), 'Veri Girişi'!G4, ""), "")</f>
        <v/>
      </c>
      <c r="F4" s="4" t="str">
        <f>IF(AND(ISNUMBER('Veri Girişi'!G4), 'Veri Girişi'!G4&gt;0.001), "Planlanan çıkış sonrası fazla mesai", IF(AND(ISNUMBER('Veri Girişi'!G4), 'Veri Girişi'!G4&lt;-0.001), "Planlanan çıkıştan önce çıkılmış", ""))</f>
        <v/>
      </c>
    </row>
    <row r="5" spans="1:6" ht="13.5" customHeight="1">
      <c r="A5" s="9" t="str">
        <f>IFERROR(IF(AND(ABS('Veri Girişi'!G5)&gt;0.001, 'Veri Girişi'!A5&lt;&gt;""), 'Veri Girişi'!A5, ""), "")</f>
        <v/>
      </c>
      <c r="B5" s="9" t="str">
        <f>IFERROR(IF(AND(ABS('Veri Girişi'!G5)&gt;0.001, 'Veri Girişi'!B5&lt;&gt;""), 'Veri Girişi'!B5, ""), "")</f>
        <v/>
      </c>
      <c r="C5" s="10" t="str">
        <f>IFERROR(IF(AND(ABS('Veri Girişi'!G5)&gt;0.001, 'Veri Girişi'!C5&lt;&gt;""), 'Veri Girişi'!C5, ""), "")</f>
        <v/>
      </c>
      <c r="D5" s="10" t="str">
        <f>IFERROR(IF(AND(ABS('Veri Girişi'!G5)&gt;0.001, 'Veri Girişi'!D5&lt;&gt;""), 'Veri Girişi'!D5, ""), "")</f>
        <v/>
      </c>
      <c r="E5" s="1" t="str">
        <f>IFERROR(IF(AND(ABS('Veri Girişi'!G5)&gt;0.001, 'Veri Girişi'!G5&lt;&gt;""), 'Veri Girişi'!G5, ""), "")</f>
        <v/>
      </c>
      <c r="F5" s="11" t="str">
        <f>IF(AND(ISNUMBER('Veri Girişi'!G5), 'Veri Girişi'!G5&gt;0.001), "Planlanan çıkış sonrası fazla mesai", IF(AND(ISNUMBER('Veri Girişi'!G5), 'Veri Girişi'!G5&lt;-0.001), "Planlanan çıkıştan önce çıkılmış", ""))</f>
        <v/>
      </c>
    </row>
    <row r="6" spans="1:6" ht="13.5" customHeight="1">
      <c r="A6" s="2" t="str">
        <f>IFERROR(IF(AND(ABS('Veri Girişi'!G6)&gt;0.001, 'Veri Girişi'!A6&lt;&gt;""), 'Veri Girişi'!A6, ""), "")</f>
        <v/>
      </c>
      <c r="B6" s="2" t="str">
        <f>IFERROR(IF(AND(ABS('Veri Girişi'!G6)&gt;0.001, 'Veri Girişi'!B6&lt;&gt;""), 'Veri Girişi'!B6, ""), "")</f>
        <v/>
      </c>
      <c r="C6" s="3" t="str">
        <f>IFERROR(IF(AND(ABS('Veri Girişi'!G6)&gt;0.001, 'Veri Girişi'!C6&lt;&gt;""), 'Veri Girişi'!C6, ""), "")</f>
        <v/>
      </c>
      <c r="D6" s="3" t="str">
        <f>IFERROR(IF(AND(ABS('Veri Girişi'!G6)&gt;0.001, 'Veri Girişi'!D6&lt;&gt;""), 'Veri Girişi'!D6, ""), "")</f>
        <v/>
      </c>
      <c r="E6" s="1" t="str">
        <f>IFERROR(IF(AND(ABS('Veri Girişi'!G6)&gt;0.001, 'Veri Girişi'!G6&lt;&gt;""), 'Veri Girişi'!G6, ""), "")</f>
        <v/>
      </c>
      <c r="F6" s="4" t="str">
        <f>IF(AND(ISNUMBER('Veri Girişi'!G6), 'Veri Girişi'!G6&gt;0.001), "Planlanan çıkış sonrası fazla mesai", IF(AND(ISNUMBER('Veri Girişi'!G6), 'Veri Girişi'!G6&lt;-0.001), "Planlanan çıkıştan önce çıkılmış", ""))</f>
        <v/>
      </c>
    </row>
    <row r="7" spans="1:6" ht="13.5" customHeight="1">
      <c r="A7" s="9" t="str">
        <f>IFERROR(IF(AND(ABS('Veri Girişi'!G7)&gt;0.001, 'Veri Girişi'!A7&lt;&gt;""), 'Veri Girişi'!A7, ""), "")</f>
        <v/>
      </c>
      <c r="B7" s="9" t="str">
        <f>IFERROR(IF(AND(ABS('Veri Girişi'!G7)&gt;0.001, 'Veri Girişi'!B7&lt;&gt;""), 'Veri Girişi'!B7, ""), "")</f>
        <v/>
      </c>
      <c r="C7" s="10" t="str">
        <f>IFERROR(IF(AND(ABS('Veri Girişi'!G7)&gt;0.001, 'Veri Girişi'!C7&lt;&gt;""), 'Veri Girişi'!C7, ""), "")</f>
        <v/>
      </c>
      <c r="D7" s="10" t="str">
        <f>IFERROR(IF(AND(ABS('Veri Girişi'!G7)&gt;0.001, 'Veri Girişi'!D7&lt;&gt;""), 'Veri Girişi'!D7, ""), "")</f>
        <v/>
      </c>
      <c r="E7" s="1" t="str">
        <f>IFERROR(IF(AND(ABS('Veri Girişi'!G7)&gt;0.001, 'Veri Girişi'!G7&lt;&gt;""), 'Veri Girişi'!G7, ""), "")</f>
        <v/>
      </c>
      <c r="F7" s="11" t="str">
        <f>IF(AND(ISNUMBER('Veri Girişi'!G7), 'Veri Girişi'!G7&gt;0.001), "Planlanan çıkış sonrası fazla mesai", IF(AND(ISNUMBER('Veri Girişi'!G7), 'Veri Girişi'!G7&lt;-0.001), "Planlanan çıkıştan önce çıkılmış", ""))</f>
        <v/>
      </c>
    </row>
    <row r="8" spans="1:6" ht="13.5" customHeight="1">
      <c r="A8" s="2" t="str">
        <f>IFERROR(IF(AND(ABS('Veri Girişi'!G8)&gt;0.001, 'Veri Girişi'!A8&lt;&gt;""), 'Veri Girişi'!A8, ""), "")</f>
        <v/>
      </c>
      <c r="B8" s="2" t="str">
        <f>IFERROR(IF(AND(ABS('Veri Girişi'!G8)&gt;0.001, 'Veri Girişi'!B8&lt;&gt;""), 'Veri Girişi'!B8, ""), "")</f>
        <v/>
      </c>
      <c r="C8" s="3" t="str">
        <f>IFERROR(IF(AND(ABS('Veri Girişi'!G8)&gt;0.001, 'Veri Girişi'!C8&lt;&gt;""), 'Veri Girişi'!C8, ""), "")</f>
        <v/>
      </c>
      <c r="D8" s="3" t="str">
        <f>IFERROR(IF(AND(ABS('Veri Girişi'!G8)&gt;0.001, 'Veri Girişi'!D8&lt;&gt;""), 'Veri Girişi'!D8, ""), "")</f>
        <v/>
      </c>
      <c r="E8" s="1" t="str">
        <f>IFERROR(IF(AND(ABS('Veri Girişi'!G8)&gt;0.001, 'Veri Girişi'!G8&lt;&gt;""), 'Veri Girişi'!G8, ""), "")</f>
        <v/>
      </c>
      <c r="F8" s="4" t="str">
        <f>IF(AND(ISNUMBER('Veri Girişi'!G8), 'Veri Girişi'!G8&gt;0.001), "Planlanan çıkış sonrası fazla mesai", IF(AND(ISNUMBER('Veri Girişi'!G8), 'Veri Girişi'!G8&lt;-0.001), "Planlanan çıkıştan önce çıkılmış", ""))</f>
        <v/>
      </c>
    </row>
    <row r="9" spans="1:6" ht="13.5" customHeight="1">
      <c r="A9" s="9" t="str">
        <f>IFERROR(IF(AND(ABS('Veri Girişi'!G9)&gt;0.001, 'Veri Girişi'!A9&lt;&gt;""), 'Veri Girişi'!A9, ""), "")</f>
        <v/>
      </c>
      <c r="B9" s="9" t="str">
        <f>IFERROR(IF(AND(ABS('Veri Girişi'!G9)&gt;0.001, 'Veri Girişi'!B9&lt;&gt;""), 'Veri Girişi'!B9, ""), "")</f>
        <v/>
      </c>
      <c r="C9" s="10" t="str">
        <f>IFERROR(IF(AND(ABS('Veri Girişi'!G9)&gt;0.001, 'Veri Girişi'!C9&lt;&gt;""), 'Veri Girişi'!C9, ""), "")</f>
        <v/>
      </c>
      <c r="D9" s="10" t="str">
        <f>IFERROR(IF(AND(ABS('Veri Girişi'!G9)&gt;0.001, 'Veri Girişi'!D9&lt;&gt;""), 'Veri Girişi'!D9, ""), "")</f>
        <v/>
      </c>
      <c r="E9" s="1" t="str">
        <f>IFERROR(IF(AND(ABS('Veri Girişi'!G9)&gt;0.001, 'Veri Girişi'!G9&lt;&gt;""), 'Veri Girişi'!G9, ""), "")</f>
        <v/>
      </c>
      <c r="F9" s="11" t="str">
        <f>IF(AND(ISNUMBER('Veri Girişi'!G9), 'Veri Girişi'!G9&gt;0.001), "Planlanan çıkış sonrası fazla mesai", IF(AND(ISNUMBER('Veri Girişi'!G9), 'Veri Girişi'!G9&lt;-0.001), "Planlanan çıkıştan önce çıkılmış", ""))</f>
        <v/>
      </c>
    </row>
    <row r="10" spans="1:6" ht="13.5" customHeight="1">
      <c r="A10" s="2" t="str">
        <f>IFERROR(IF(AND(ABS('Veri Girişi'!G10)&gt;0.001, 'Veri Girişi'!A10&lt;&gt;""), 'Veri Girişi'!A10, ""), "")</f>
        <v/>
      </c>
      <c r="B10" s="2" t="str">
        <f>IFERROR(IF(AND(ABS('Veri Girişi'!G10)&gt;0.001, 'Veri Girişi'!B10&lt;&gt;""), 'Veri Girişi'!B10, ""), "")</f>
        <v/>
      </c>
      <c r="C10" s="3" t="str">
        <f>IFERROR(IF(AND(ABS('Veri Girişi'!G10)&gt;0.001, 'Veri Girişi'!C10&lt;&gt;""), 'Veri Girişi'!C10, ""), "")</f>
        <v/>
      </c>
      <c r="D10" s="3" t="str">
        <f>IFERROR(IF(AND(ABS('Veri Girişi'!G10)&gt;0.001, 'Veri Girişi'!D10&lt;&gt;""), 'Veri Girişi'!D10, ""), "")</f>
        <v/>
      </c>
      <c r="E10" s="1" t="str">
        <f>IFERROR(IF(AND(ABS('Veri Girişi'!G10)&gt;0.001, 'Veri Girişi'!G10&lt;&gt;""), 'Veri Girişi'!G10, ""), "")</f>
        <v/>
      </c>
      <c r="F10" s="4" t="str">
        <f>IF(AND(ISNUMBER('Veri Girişi'!G10), 'Veri Girişi'!G10&gt;0.001), "Planlanan çıkış sonrası fazla mesai", IF(AND(ISNUMBER('Veri Girişi'!G10), 'Veri Girişi'!G10&lt;-0.001), "Planlanan çıkıştan önce çıkılmış", ""))</f>
        <v/>
      </c>
    </row>
    <row r="11" spans="1:6" ht="13.5" customHeight="1">
      <c r="A11" s="9" t="str">
        <f>IFERROR(IF(AND(ABS('Veri Girişi'!G11)&gt;0.001, 'Veri Girişi'!A11&lt;&gt;""), 'Veri Girişi'!A11, ""), "")</f>
        <v/>
      </c>
      <c r="B11" s="9" t="str">
        <f>IFERROR(IF(AND(ABS('Veri Girişi'!G11)&gt;0.001, 'Veri Girişi'!B11&lt;&gt;""), 'Veri Girişi'!B11, ""), "")</f>
        <v/>
      </c>
      <c r="C11" s="10" t="str">
        <f>IFERROR(IF(AND(ABS('Veri Girişi'!G11)&gt;0.001, 'Veri Girişi'!C11&lt;&gt;""), 'Veri Girişi'!C11, ""), "")</f>
        <v/>
      </c>
      <c r="D11" s="10" t="str">
        <f>IFERROR(IF(AND(ABS('Veri Girişi'!G11)&gt;0.001, 'Veri Girişi'!D11&lt;&gt;""), 'Veri Girişi'!D11, ""), "")</f>
        <v/>
      </c>
      <c r="E11" s="1" t="str">
        <f>IFERROR(IF(AND(ABS('Veri Girişi'!G11)&gt;0.001, 'Veri Girişi'!G11&lt;&gt;""), 'Veri Girişi'!G11, ""), "")</f>
        <v/>
      </c>
      <c r="F11" s="11" t="str">
        <f>IF(AND(ISNUMBER('Veri Girişi'!G11), 'Veri Girişi'!G11&gt;0.001), "Planlanan çıkış sonrası fazla mesai", IF(AND(ISNUMBER('Veri Girişi'!G11), 'Veri Girişi'!G11&lt;-0.001), "Planlanan çıkıştan önce çıkılmış", ""))</f>
        <v/>
      </c>
    </row>
    <row r="12" spans="1:6" ht="13.5" customHeight="1">
      <c r="A12" s="2" t="str">
        <f>IFERROR(IF(AND(ABS('Veri Girişi'!G12)&gt;0.001, 'Veri Girişi'!A12&lt;&gt;""), 'Veri Girişi'!A12, ""), "")</f>
        <v/>
      </c>
      <c r="B12" s="2" t="str">
        <f>IFERROR(IF(AND(ABS('Veri Girişi'!G12)&gt;0.001, 'Veri Girişi'!B12&lt;&gt;""), 'Veri Girişi'!B12, ""), "")</f>
        <v/>
      </c>
      <c r="C12" s="3" t="str">
        <f>IFERROR(IF(AND(ABS('Veri Girişi'!G12)&gt;0.001, 'Veri Girişi'!C12&lt;&gt;""), 'Veri Girişi'!C12, ""), "")</f>
        <v/>
      </c>
      <c r="D12" s="3" t="str">
        <f>IFERROR(IF(AND(ABS('Veri Girişi'!G12)&gt;0.001, 'Veri Girişi'!D12&lt;&gt;""), 'Veri Girişi'!D12, ""), "")</f>
        <v/>
      </c>
      <c r="E12" s="1" t="str">
        <f>IFERROR(IF(AND(ABS('Veri Girişi'!G12)&gt;0.001, 'Veri Girişi'!G12&lt;&gt;""), 'Veri Girişi'!G12, ""), "")</f>
        <v/>
      </c>
      <c r="F12" s="4" t="str">
        <f>IF(AND(ISNUMBER('Veri Girişi'!G12), 'Veri Girişi'!G12&gt;0.001), "Planlanan çıkış sonrası fazla mesai", IF(AND(ISNUMBER('Veri Girişi'!G12), 'Veri Girişi'!G12&lt;-0.001), "Planlanan çıkıştan önce çıkılmış", ""))</f>
        <v/>
      </c>
    </row>
    <row r="13" spans="1:6" ht="13.5" customHeight="1">
      <c r="A13" s="9" t="str">
        <f>IFERROR(IF(AND(ABS('Veri Girişi'!G13)&gt;0.001, 'Veri Girişi'!A13&lt;&gt;""), 'Veri Girişi'!A13, ""), "")</f>
        <v/>
      </c>
      <c r="B13" s="9" t="str">
        <f>IFERROR(IF(AND(ABS('Veri Girişi'!G13)&gt;0.001, 'Veri Girişi'!B13&lt;&gt;""), 'Veri Girişi'!B13, ""), "")</f>
        <v/>
      </c>
      <c r="C13" s="10" t="str">
        <f>IFERROR(IF(AND(ABS('Veri Girişi'!G13)&gt;0.001, 'Veri Girişi'!C13&lt;&gt;""), 'Veri Girişi'!C13, ""), "")</f>
        <v/>
      </c>
      <c r="D13" s="10" t="str">
        <f>IFERROR(IF(AND(ABS('Veri Girişi'!G13)&gt;0.001, 'Veri Girişi'!D13&lt;&gt;""), 'Veri Girişi'!D13, ""), "")</f>
        <v/>
      </c>
      <c r="E13" s="1" t="str">
        <f>IFERROR(IF(AND(ABS('Veri Girişi'!G13)&gt;0.001, 'Veri Girişi'!G13&lt;&gt;""), 'Veri Girişi'!G13, ""), "")</f>
        <v/>
      </c>
      <c r="F13" s="11" t="str">
        <f>IF(AND(ISNUMBER('Veri Girişi'!G13), 'Veri Girişi'!G13&gt;0.001), "Planlanan çıkış sonrası fazla mesai", IF(AND(ISNUMBER('Veri Girişi'!G13), 'Veri Girişi'!G13&lt;-0.001), "Planlanan çıkıştan önce çıkılmış", ""))</f>
        <v/>
      </c>
    </row>
    <row r="14" spans="1:6" ht="13.5" customHeight="1">
      <c r="A14" s="2" t="str">
        <f>IFERROR(IF(AND(ABS('Veri Girişi'!G14)&gt;0.001, 'Veri Girişi'!A14&lt;&gt;""), 'Veri Girişi'!A14, ""), "")</f>
        <v/>
      </c>
      <c r="B14" s="2" t="str">
        <f>IFERROR(IF(AND(ABS('Veri Girişi'!G14)&gt;0.001, 'Veri Girişi'!B14&lt;&gt;""), 'Veri Girişi'!B14, ""), "")</f>
        <v/>
      </c>
      <c r="C14" s="3" t="str">
        <f>IFERROR(IF(AND(ABS('Veri Girişi'!G14)&gt;0.001, 'Veri Girişi'!C14&lt;&gt;""), 'Veri Girişi'!C14, ""), "")</f>
        <v/>
      </c>
      <c r="D14" s="3" t="str">
        <f>IFERROR(IF(AND(ABS('Veri Girişi'!G14)&gt;0.001, 'Veri Girişi'!D14&lt;&gt;""), 'Veri Girişi'!D14, ""), "")</f>
        <v/>
      </c>
      <c r="E14" s="1" t="str">
        <f>IFERROR(IF(AND(ABS('Veri Girişi'!G14)&gt;0.001, 'Veri Girişi'!G14&lt;&gt;""), 'Veri Girişi'!G14, ""), "")</f>
        <v/>
      </c>
      <c r="F14" s="4" t="str">
        <f>IF(AND(ISNUMBER('Veri Girişi'!G14), 'Veri Girişi'!G14&gt;0.001), "Planlanan çıkış sonrası fazla mesai", IF(AND(ISNUMBER('Veri Girişi'!G14), 'Veri Girişi'!G14&lt;-0.001), "Planlanan çıkıştan önce çıkılmış", ""))</f>
        <v/>
      </c>
    </row>
    <row r="15" spans="1:6" ht="13.5" customHeight="1">
      <c r="A15" s="9" t="str">
        <f>IFERROR(IF(AND(ABS('Veri Girişi'!G15)&gt;0.001, 'Veri Girişi'!A15&lt;&gt;""), 'Veri Girişi'!A15, ""), "")</f>
        <v/>
      </c>
      <c r="B15" s="9" t="str">
        <f>IFERROR(IF(AND(ABS('Veri Girişi'!G15)&gt;0.001, 'Veri Girişi'!B15&lt;&gt;""), 'Veri Girişi'!B15, ""), "")</f>
        <v/>
      </c>
      <c r="C15" s="10" t="str">
        <f>IFERROR(IF(AND(ABS('Veri Girişi'!G15)&gt;0.001, 'Veri Girişi'!C15&lt;&gt;""), 'Veri Girişi'!C15, ""), "")</f>
        <v/>
      </c>
      <c r="D15" s="10" t="str">
        <f>IFERROR(IF(AND(ABS('Veri Girişi'!G15)&gt;0.001, 'Veri Girişi'!D15&lt;&gt;""), 'Veri Girişi'!D15, ""), "")</f>
        <v/>
      </c>
      <c r="E15" s="1" t="str">
        <f>IFERROR(IF(AND(ABS('Veri Girişi'!G15)&gt;0.001, 'Veri Girişi'!G15&lt;&gt;""), 'Veri Girişi'!G15, ""), "")</f>
        <v/>
      </c>
      <c r="F15" s="11" t="str">
        <f>IF(AND(ISNUMBER('Veri Girişi'!G15), 'Veri Girişi'!G15&gt;0.001), "Planlanan çıkış sonrası fazla mesai", IF(AND(ISNUMBER('Veri Girişi'!G15), 'Veri Girişi'!G15&lt;-0.001), "Planlanan çıkıştan önce çıkılmış", ""))</f>
        <v/>
      </c>
    </row>
    <row r="16" spans="1:6" ht="13.5" customHeight="1">
      <c r="A16" s="2" t="str">
        <f>IFERROR(IF(AND(ABS('Veri Girişi'!G16)&gt;0.001, 'Veri Girişi'!A16&lt;&gt;""), 'Veri Girişi'!A16, ""), "")</f>
        <v/>
      </c>
      <c r="B16" s="2" t="str">
        <f>IFERROR(IF(AND(ABS('Veri Girişi'!G16)&gt;0.001, 'Veri Girişi'!B16&lt;&gt;""), 'Veri Girişi'!B16, ""), "")</f>
        <v/>
      </c>
      <c r="C16" s="3" t="str">
        <f>IFERROR(IF(AND(ABS('Veri Girişi'!G16)&gt;0.001, 'Veri Girişi'!C16&lt;&gt;""), 'Veri Girişi'!C16, ""), "")</f>
        <v/>
      </c>
      <c r="D16" s="3" t="str">
        <f>IFERROR(IF(AND(ABS('Veri Girişi'!G16)&gt;0.001, 'Veri Girişi'!D16&lt;&gt;""), 'Veri Girişi'!D16, ""), "")</f>
        <v/>
      </c>
      <c r="E16" s="1" t="str">
        <f>IFERROR(IF(AND(ABS('Veri Girişi'!G16)&gt;0.001, 'Veri Girişi'!G16&lt;&gt;""), 'Veri Girişi'!G16, ""), "")</f>
        <v/>
      </c>
      <c r="F16" s="4" t="str">
        <f>IF(AND(ISNUMBER('Veri Girişi'!G16), 'Veri Girişi'!G16&gt;0.001), "Planlanan çıkış sonrası fazla mesai", IF(AND(ISNUMBER('Veri Girişi'!G16), 'Veri Girişi'!G16&lt;-0.001), "Planlanan çıkıştan önce çıkılmış", ""))</f>
        <v/>
      </c>
    </row>
    <row r="17" spans="1:6" ht="13.5" customHeight="1">
      <c r="A17" s="9" t="str">
        <f>IFERROR(IF(AND(ABS('Veri Girişi'!G17)&gt;0.001, 'Veri Girişi'!A17&lt;&gt;""), 'Veri Girişi'!A17, ""), "")</f>
        <v/>
      </c>
      <c r="B17" s="9" t="str">
        <f>IFERROR(IF(AND(ABS('Veri Girişi'!G17)&gt;0.001, 'Veri Girişi'!B17&lt;&gt;""), 'Veri Girişi'!B17, ""), "")</f>
        <v/>
      </c>
      <c r="C17" s="10" t="str">
        <f>IFERROR(IF(AND(ABS('Veri Girişi'!G17)&gt;0.001, 'Veri Girişi'!C17&lt;&gt;""), 'Veri Girişi'!C17, ""), "")</f>
        <v/>
      </c>
      <c r="D17" s="10" t="str">
        <f>IFERROR(IF(AND(ABS('Veri Girişi'!G17)&gt;0.001, 'Veri Girişi'!D17&lt;&gt;""), 'Veri Girişi'!D17, ""), "")</f>
        <v/>
      </c>
      <c r="E17" s="1" t="str">
        <f>IFERROR(IF(AND(ABS('Veri Girişi'!G17)&gt;0.001, 'Veri Girişi'!G17&lt;&gt;""), 'Veri Girişi'!G17, ""), "")</f>
        <v/>
      </c>
      <c r="F17" s="11" t="str">
        <f>IF(AND(ISNUMBER('Veri Girişi'!G17), 'Veri Girişi'!G17&gt;0.001), "Planlanan çıkış sonrası fazla mesai", IF(AND(ISNUMBER('Veri Girişi'!G17), 'Veri Girişi'!G17&lt;-0.001), "Planlanan çıkıştan önce çıkılmış", ""))</f>
        <v/>
      </c>
    </row>
    <row r="18" spans="1:6" ht="13.5" customHeight="1">
      <c r="A18" s="2" t="str">
        <f>IFERROR(IF(AND(ABS('Veri Girişi'!G18)&gt;0.001, 'Veri Girişi'!A18&lt;&gt;""), 'Veri Girişi'!A18, ""), "")</f>
        <v/>
      </c>
      <c r="B18" s="2" t="str">
        <f>IFERROR(IF(AND(ABS('Veri Girişi'!G18)&gt;0.001, 'Veri Girişi'!B18&lt;&gt;""), 'Veri Girişi'!B18, ""), "")</f>
        <v/>
      </c>
      <c r="C18" s="3" t="str">
        <f>IFERROR(IF(AND(ABS('Veri Girişi'!G18)&gt;0.001, 'Veri Girişi'!C18&lt;&gt;""), 'Veri Girişi'!C18, ""), "")</f>
        <v/>
      </c>
      <c r="D18" s="3" t="str">
        <f>IFERROR(IF(AND(ABS('Veri Girişi'!G18)&gt;0.001, 'Veri Girişi'!D18&lt;&gt;""), 'Veri Girişi'!D18, ""), "")</f>
        <v/>
      </c>
      <c r="E18" s="1" t="str">
        <f>IFERROR(IF(AND(ABS('Veri Girişi'!G18)&gt;0.001, 'Veri Girişi'!G18&lt;&gt;""), 'Veri Girişi'!G18, ""), "")</f>
        <v/>
      </c>
      <c r="F18" s="4" t="str">
        <f>IF(AND(ISNUMBER('Veri Girişi'!G18), 'Veri Girişi'!G18&gt;0.001), "Planlanan çıkış sonrası fazla mesai", IF(AND(ISNUMBER('Veri Girişi'!G18), 'Veri Girişi'!G18&lt;-0.001), "Planlanan çıkıştan önce çıkılmış", ""))</f>
        <v/>
      </c>
    </row>
    <row r="19" spans="1:6" ht="13.5" customHeight="1">
      <c r="A19" s="9" t="str">
        <f>IFERROR(IF(AND(ABS('Veri Girişi'!G19)&gt;0.001, 'Veri Girişi'!A19&lt;&gt;""), 'Veri Girişi'!A19, ""), "")</f>
        <v/>
      </c>
      <c r="B19" s="9" t="str">
        <f>IFERROR(IF(AND(ABS('Veri Girişi'!G19)&gt;0.001, 'Veri Girişi'!B19&lt;&gt;""), 'Veri Girişi'!B19, ""), "")</f>
        <v/>
      </c>
      <c r="C19" s="10" t="str">
        <f>IFERROR(IF(AND(ABS('Veri Girişi'!G19)&gt;0.001, 'Veri Girişi'!C19&lt;&gt;""), 'Veri Girişi'!C19, ""), "")</f>
        <v/>
      </c>
      <c r="D19" s="10" t="str">
        <f>IFERROR(IF(AND(ABS('Veri Girişi'!G19)&gt;0.001, 'Veri Girişi'!D19&lt;&gt;""), 'Veri Girişi'!D19, ""), "")</f>
        <v/>
      </c>
      <c r="E19" s="1" t="str">
        <f>IFERROR(IF(AND(ABS('Veri Girişi'!G19)&gt;0.001, 'Veri Girişi'!G19&lt;&gt;""), 'Veri Girişi'!G19, ""), "")</f>
        <v/>
      </c>
      <c r="F19" s="11" t="str">
        <f>IF(AND(ISNUMBER('Veri Girişi'!G19), 'Veri Girişi'!G19&gt;0.001), "Planlanan çıkış sonrası fazla mesai", IF(AND(ISNUMBER('Veri Girişi'!G19), 'Veri Girişi'!G19&lt;-0.001), "Planlanan çıkıştan önce çıkılmış", ""))</f>
        <v/>
      </c>
    </row>
    <row r="20" spans="1:6" ht="13.5" customHeight="1">
      <c r="A20" s="2" t="str">
        <f>IFERROR(IF(AND(ABS('Veri Girişi'!G20)&gt;0.001, 'Veri Girişi'!A20&lt;&gt;""), 'Veri Girişi'!A20, ""), "")</f>
        <v/>
      </c>
      <c r="B20" s="2" t="str">
        <f>IFERROR(IF(AND(ABS('Veri Girişi'!G20)&gt;0.001, 'Veri Girişi'!B20&lt;&gt;""), 'Veri Girişi'!B20, ""), "")</f>
        <v/>
      </c>
      <c r="C20" s="3" t="str">
        <f>IFERROR(IF(AND(ABS('Veri Girişi'!G20)&gt;0.001, 'Veri Girişi'!C20&lt;&gt;""), 'Veri Girişi'!C20, ""), "")</f>
        <v/>
      </c>
      <c r="D20" s="3" t="str">
        <f>IFERROR(IF(AND(ABS('Veri Girişi'!G20)&gt;0.001, 'Veri Girişi'!D20&lt;&gt;""), 'Veri Girişi'!D20, ""), "")</f>
        <v/>
      </c>
      <c r="E20" s="1" t="str">
        <f>IFERROR(IF(AND(ABS('Veri Girişi'!G20)&gt;0.001, 'Veri Girişi'!G20&lt;&gt;""), 'Veri Girişi'!G20, ""), "")</f>
        <v/>
      </c>
      <c r="F20" s="4" t="str">
        <f>IF(AND(ISNUMBER('Veri Girişi'!G20), 'Veri Girişi'!G20&gt;0.001), "Planlanan çıkış sonrası fazla mesai", IF(AND(ISNUMBER('Veri Girişi'!G20), 'Veri Girişi'!G20&lt;-0.001), "Planlanan çıkıştan önce çıkılmış", ""))</f>
        <v/>
      </c>
    </row>
    <row r="21" spans="1:6" ht="13.5" customHeight="1">
      <c r="A21" s="9" t="str">
        <f>IFERROR(IF(AND(ABS('Veri Girişi'!G21)&gt;0.001, 'Veri Girişi'!A21&lt;&gt;""), 'Veri Girişi'!A21, ""), "")</f>
        <v/>
      </c>
      <c r="B21" s="9" t="str">
        <f>IFERROR(IF(AND(ABS('Veri Girişi'!G21)&gt;0.001, 'Veri Girişi'!B21&lt;&gt;""), 'Veri Girişi'!B21, ""), "")</f>
        <v/>
      </c>
      <c r="C21" s="10" t="str">
        <f>IFERROR(IF(AND(ABS('Veri Girişi'!G21)&gt;0.001, 'Veri Girişi'!C21&lt;&gt;""), 'Veri Girişi'!C21, ""), "")</f>
        <v/>
      </c>
      <c r="D21" s="10" t="str">
        <f>IFERROR(IF(AND(ABS('Veri Girişi'!G21)&gt;0.001, 'Veri Girişi'!D21&lt;&gt;""), 'Veri Girişi'!D21, ""), "")</f>
        <v/>
      </c>
      <c r="E21" s="1" t="str">
        <f>IFERROR(IF(AND(ABS('Veri Girişi'!G21)&gt;0.001, 'Veri Girişi'!G21&lt;&gt;""), 'Veri Girişi'!G21, ""), "")</f>
        <v/>
      </c>
      <c r="F21" s="11" t="str">
        <f>IF(AND(ISNUMBER('Veri Girişi'!G21), 'Veri Girişi'!G21&gt;0.001), "Planlanan çıkış sonrası fazla mesai", IF(AND(ISNUMBER('Veri Girişi'!G21), 'Veri Girişi'!G21&lt;-0.001), "Planlanan çıkıştan önce çıkılmış", ""))</f>
        <v/>
      </c>
    </row>
    <row r="22" spans="1:6" ht="13.5" customHeight="1">
      <c r="A22" s="2" t="str">
        <f>IFERROR(IF(AND(ABS('Veri Girişi'!G22)&gt;0.001, 'Veri Girişi'!A22&lt;&gt;""), 'Veri Girişi'!A22, ""), "")</f>
        <v/>
      </c>
      <c r="B22" s="2" t="str">
        <f>IFERROR(IF(AND(ABS('Veri Girişi'!G22)&gt;0.001, 'Veri Girişi'!B22&lt;&gt;""), 'Veri Girişi'!B22, ""), "")</f>
        <v/>
      </c>
      <c r="C22" s="3" t="str">
        <f>IFERROR(IF(AND(ABS('Veri Girişi'!G22)&gt;0.001, 'Veri Girişi'!C22&lt;&gt;""), 'Veri Girişi'!C22, ""), "")</f>
        <v/>
      </c>
      <c r="D22" s="3" t="str">
        <f>IFERROR(IF(AND(ABS('Veri Girişi'!G22)&gt;0.001, 'Veri Girişi'!D22&lt;&gt;""), 'Veri Girişi'!D22, ""), "")</f>
        <v/>
      </c>
      <c r="E22" s="1" t="str">
        <f>IFERROR(IF(AND(ABS('Veri Girişi'!G22)&gt;0.001, 'Veri Girişi'!G22&lt;&gt;""), 'Veri Girişi'!G22, ""), "")</f>
        <v/>
      </c>
      <c r="F22" s="4" t="str">
        <f>IF(AND(ISNUMBER('Veri Girişi'!G22), 'Veri Girişi'!G22&gt;0.001), "Planlanan çıkış sonrası fazla mesai", IF(AND(ISNUMBER('Veri Girişi'!G22), 'Veri Girişi'!G22&lt;-0.001), "Planlanan çıkıştan önce çıkılmış", ""))</f>
        <v/>
      </c>
    </row>
    <row r="23" spans="1:6" ht="13.5" customHeight="1">
      <c r="A23" s="9" t="str">
        <f>IFERROR(IF(AND(ABS('Veri Girişi'!G23)&gt;0.001, 'Veri Girişi'!A23&lt;&gt;""), 'Veri Girişi'!A23, ""), "")</f>
        <v/>
      </c>
      <c r="B23" s="9" t="str">
        <f>IFERROR(IF(AND(ABS('Veri Girişi'!G23)&gt;0.001, 'Veri Girişi'!B23&lt;&gt;""), 'Veri Girişi'!B23, ""), "")</f>
        <v/>
      </c>
      <c r="C23" s="10" t="str">
        <f>IFERROR(IF(AND(ABS('Veri Girişi'!G23)&gt;0.001, 'Veri Girişi'!C23&lt;&gt;""), 'Veri Girişi'!C23, ""), "")</f>
        <v/>
      </c>
      <c r="D23" s="10" t="str">
        <f>IFERROR(IF(AND(ABS('Veri Girişi'!G23)&gt;0.001, 'Veri Girişi'!D23&lt;&gt;""), 'Veri Girişi'!D23, ""), "")</f>
        <v/>
      </c>
      <c r="E23" s="1" t="str">
        <f>IFERROR(IF(AND(ABS('Veri Girişi'!G23)&gt;0.001, 'Veri Girişi'!G23&lt;&gt;""), 'Veri Girişi'!G23, ""), "")</f>
        <v/>
      </c>
      <c r="F23" s="11" t="str">
        <f>IF(AND(ISNUMBER('Veri Girişi'!G23), 'Veri Girişi'!G23&gt;0.001), "Planlanan çıkış sonrası fazla mesai", IF(AND(ISNUMBER('Veri Girişi'!G23), 'Veri Girişi'!G23&lt;-0.001), "Planlanan çıkıştan önce çıkılmış", ""))</f>
        <v/>
      </c>
    </row>
    <row r="24" spans="1:6" ht="13.5" customHeight="1">
      <c r="A24" s="2" t="str">
        <f>IFERROR(IF(AND(ABS('Veri Girişi'!G24)&gt;0.001, 'Veri Girişi'!A24&lt;&gt;""), 'Veri Girişi'!A24, ""), "")</f>
        <v/>
      </c>
      <c r="B24" s="2" t="str">
        <f>IFERROR(IF(AND(ABS('Veri Girişi'!G24)&gt;0.001, 'Veri Girişi'!B24&lt;&gt;""), 'Veri Girişi'!B24, ""), "")</f>
        <v/>
      </c>
      <c r="C24" s="3" t="str">
        <f>IFERROR(IF(AND(ABS('Veri Girişi'!G24)&gt;0.001, 'Veri Girişi'!C24&lt;&gt;""), 'Veri Girişi'!C24, ""), "")</f>
        <v/>
      </c>
      <c r="D24" s="3" t="str">
        <f>IFERROR(IF(AND(ABS('Veri Girişi'!G24)&gt;0.001, 'Veri Girişi'!D24&lt;&gt;""), 'Veri Girişi'!D24, ""), "")</f>
        <v/>
      </c>
      <c r="E24" s="1" t="str">
        <f>IFERROR(IF(AND(ABS('Veri Girişi'!G24)&gt;0.001, 'Veri Girişi'!G24&lt;&gt;""), 'Veri Girişi'!G24, ""), "")</f>
        <v/>
      </c>
      <c r="F24" s="4" t="str">
        <f>IF(AND(ISNUMBER('Veri Girişi'!G24), 'Veri Girişi'!G24&gt;0.001), "Planlanan çıkış sonrası fazla mesai", IF(AND(ISNUMBER('Veri Girişi'!G24), 'Veri Girişi'!G24&lt;-0.001), "Planlanan çıkıştan önce çıkılmış", ""))</f>
        <v/>
      </c>
    </row>
    <row r="25" spans="1:6" ht="13.5" customHeight="1">
      <c r="A25" s="9" t="str">
        <f>IFERROR(IF(AND(ABS('Veri Girişi'!G25)&gt;0.001, 'Veri Girişi'!A25&lt;&gt;""), 'Veri Girişi'!A25, ""), "")</f>
        <v/>
      </c>
      <c r="B25" s="9" t="str">
        <f>IFERROR(IF(AND(ABS('Veri Girişi'!G25)&gt;0.001, 'Veri Girişi'!B25&lt;&gt;""), 'Veri Girişi'!B25, ""), "")</f>
        <v/>
      </c>
      <c r="C25" s="10" t="str">
        <f>IFERROR(IF(AND(ABS('Veri Girişi'!G25)&gt;0.001, 'Veri Girişi'!C25&lt;&gt;""), 'Veri Girişi'!C25, ""), "")</f>
        <v/>
      </c>
      <c r="D25" s="10" t="str">
        <f>IFERROR(IF(AND(ABS('Veri Girişi'!G25)&gt;0.001, 'Veri Girişi'!D25&lt;&gt;""), 'Veri Girişi'!D25, ""), "")</f>
        <v/>
      </c>
      <c r="E25" s="1" t="str">
        <f>IFERROR(IF(AND(ABS('Veri Girişi'!G25)&gt;0.001, 'Veri Girişi'!G25&lt;&gt;""), 'Veri Girişi'!G25, ""), "")</f>
        <v/>
      </c>
      <c r="F25" s="11" t="str">
        <f>IF(AND(ISNUMBER('Veri Girişi'!G25), 'Veri Girişi'!G25&gt;0.001), "Planlanan çıkış sonrası fazla mesai", IF(AND(ISNUMBER('Veri Girişi'!G25), 'Veri Girişi'!G25&lt;-0.001), "Planlanan çıkıştan önce çıkılmış", ""))</f>
        <v/>
      </c>
    </row>
    <row r="26" spans="1:6" ht="13.5" customHeight="1">
      <c r="A26" s="2" t="str">
        <f>IFERROR(IF(AND(ABS('Veri Girişi'!G26)&gt;0.001, 'Veri Girişi'!A26&lt;&gt;""), 'Veri Girişi'!A26, ""), "")</f>
        <v/>
      </c>
      <c r="B26" s="2" t="str">
        <f>IFERROR(IF(AND(ABS('Veri Girişi'!G26)&gt;0.001, 'Veri Girişi'!B26&lt;&gt;""), 'Veri Girişi'!B26, ""), "")</f>
        <v/>
      </c>
      <c r="C26" s="3" t="str">
        <f>IFERROR(IF(AND(ABS('Veri Girişi'!G26)&gt;0.001, 'Veri Girişi'!C26&lt;&gt;""), 'Veri Girişi'!C26, ""), "")</f>
        <v/>
      </c>
      <c r="D26" s="3" t="str">
        <f>IFERROR(IF(AND(ABS('Veri Girişi'!G26)&gt;0.001, 'Veri Girişi'!D26&lt;&gt;""), 'Veri Girişi'!D26, ""), "")</f>
        <v/>
      </c>
      <c r="E26" s="1" t="str">
        <f>IFERROR(IF(AND(ABS('Veri Girişi'!G26)&gt;0.001, 'Veri Girişi'!G26&lt;&gt;""), 'Veri Girişi'!G26, ""), "")</f>
        <v/>
      </c>
      <c r="F26" s="4" t="str">
        <f>IF(AND(ISNUMBER('Veri Girişi'!G26), 'Veri Girişi'!G26&gt;0.001), "Planlanan çıkış sonrası fazla mesai", IF(AND(ISNUMBER('Veri Girişi'!G26), 'Veri Girişi'!G26&lt;-0.001), "Planlanan çıkıştan önce çıkılmış", ""))</f>
        <v/>
      </c>
    </row>
    <row r="27" spans="1:6" ht="13.5" customHeight="1">
      <c r="A27" s="9" t="str">
        <f>IFERROR(IF(AND(ABS('Veri Girişi'!G27)&gt;0.001, 'Veri Girişi'!A27&lt;&gt;""), 'Veri Girişi'!A27, ""), "")</f>
        <v/>
      </c>
      <c r="B27" s="9" t="str">
        <f>IFERROR(IF(AND(ABS('Veri Girişi'!G27)&gt;0.001, 'Veri Girişi'!B27&lt;&gt;""), 'Veri Girişi'!B27, ""), "")</f>
        <v/>
      </c>
      <c r="C27" s="10" t="str">
        <f>IFERROR(IF(AND(ABS('Veri Girişi'!G27)&gt;0.001, 'Veri Girişi'!C27&lt;&gt;""), 'Veri Girişi'!C27, ""), "")</f>
        <v/>
      </c>
      <c r="D27" s="10" t="str">
        <f>IFERROR(IF(AND(ABS('Veri Girişi'!G27)&gt;0.001, 'Veri Girişi'!D27&lt;&gt;""), 'Veri Girişi'!D27, ""), "")</f>
        <v/>
      </c>
      <c r="E27" s="1" t="str">
        <f>IFERROR(IF(AND(ABS('Veri Girişi'!G27)&gt;0.001, 'Veri Girişi'!G27&lt;&gt;""), 'Veri Girişi'!G27, ""), "")</f>
        <v/>
      </c>
      <c r="F27" s="11" t="str">
        <f>IF(AND(ISNUMBER('Veri Girişi'!G27), 'Veri Girişi'!G27&gt;0.001), "Planlanan çıkış sonrası fazla mesai", IF(AND(ISNUMBER('Veri Girişi'!G27), 'Veri Girişi'!G27&lt;-0.001), "Planlanan çıkıştan önce çıkılmış", ""))</f>
        <v/>
      </c>
    </row>
    <row r="28" spans="1:6" ht="13.5" customHeight="1">
      <c r="A28" s="2" t="str">
        <f>IFERROR(IF(AND(ABS('Veri Girişi'!G28)&gt;0.001, 'Veri Girişi'!A28&lt;&gt;""), 'Veri Girişi'!A28, ""), "")</f>
        <v/>
      </c>
      <c r="B28" s="2" t="str">
        <f>IFERROR(IF(AND(ABS('Veri Girişi'!G28)&gt;0.001, 'Veri Girişi'!B28&lt;&gt;""), 'Veri Girişi'!B28, ""), "")</f>
        <v/>
      </c>
      <c r="C28" s="3" t="str">
        <f>IFERROR(IF(AND(ABS('Veri Girişi'!G28)&gt;0.001, 'Veri Girişi'!C28&lt;&gt;""), 'Veri Girişi'!C28, ""), "")</f>
        <v/>
      </c>
      <c r="D28" s="3" t="str">
        <f>IFERROR(IF(AND(ABS('Veri Girişi'!G28)&gt;0.001, 'Veri Girişi'!D28&lt;&gt;""), 'Veri Girişi'!D28, ""), "")</f>
        <v/>
      </c>
      <c r="E28" s="1" t="str">
        <f>IFERROR(IF(AND(ABS('Veri Girişi'!G28)&gt;0.001, 'Veri Girişi'!G28&lt;&gt;""), 'Veri Girişi'!G28, ""), "")</f>
        <v/>
      </c>
      <c r="F28" s="4" t="str">
        <f>IF(AND(ISNUMBER('Veri Girişi'!G28), 'Veri Girişi'!G28&gt;0.001), "Planlanan çıkış sonrası fazla mesai", IF(AND(ISNUMBER('Veri Girişi'!G28), 'Veri Girişi'!G28&lt;-0.001), "Planlanan çıkıştan önce çıkılmış", ""))</f>
        <v/>
      </c>
    </row>
    <row r="29" spans="1:6" ht="13.5" customHeight="1">
      <c r="A29" s="9" t="str">
        <f>IFERROR(IF(AND(ABS('Veri Girişi'!G29)&gt;0.001, 'Veri Girişi'!A29&lt;&gt;""), 'Veri Girişi'!A29, ""), "")</f>
        <v/>
      </c>
      <c r="B29" s="9" t="str">
        <f>IFERROR(IF(AND(ABS('Veri Girişi'!G29)&gt;0.001, 'Veri Girişi'!B29&lt;&gt;""), 'Veri Girişi'!B29, ""), "")</f>
        <v/>
      </c>
      <c r="C29" s="10" t="str">
        <f>IFERROR(IF(AND(ABS('Veri Girişi'!G29)&gt;0.001, 'Veri Girişi'!C29&lt;&gt;""), 'Veri Girişi'!C29, ""), "")</f>
        <v/>
      </c>
      <c r="D29" s="10" t="str">
        <f>IFERROR(IF(AND(ABS('Veri Girişi'!G29)&gt;0.001, 'Veri Girişi'!D29&lt;&gt;""), 'Veri Girişi'!D29, ""), "")</f>
        <v/>
      </c>
      <c r="E29" s="1" t="str">
        <f>IFERROR(IF(AND(ABS('Veri Girişi'!G29)&gt;0.001, 'Veri Girişi'!G29&lt;&gt;""), 'Veri Girişi'!G29, ""), "")</f>
        <v/>
      </c>
      <c r="F29" s="11" t="str">
        <f>IF(AND(ISNUMBER('Veri Girişi'!G29), 'Veri Girişi'!G29&gt;0.001), "Planlanan çıkış sonrası fazla mesai", IF(AND(ISNUMBER('Veri Girişi'!G29), 'Veri Girişi'!G29&lt;-0.001), "Planlanan çıkıştan önce çıkılmış", ""))</f>
        <v/>
      </c>
    </row>
    <row r="30" spans="1:6" ht="13.5" customHeight="1">
      <c r="A30" s="2" t="str">
        <f>IFERROR(IF(AND(ABS('Veri Girişi'!G30)&gt;0.001, 'Veri Girişi'!A30&lt;&gt;""), 'Veri Girişi'!A30, ""), "")</f>
        <v/>
      </c>
      <c r="B30" s="2" t="str">
        <f>IFERROR(IF(AND(ABS('Veri Girişi'!G30)&gt;0.001, 'Veri Girişi'!B30&lt;&gt;""), 'Veri Girişi'!B30, ""), "")</f>
        <v/>
      </c>
      <c r="C30" s="3" t="str">
        <f>IFERROR(IF(AND(ABS('Veri Girişi'!G30)&gt;0.001, 'Veri Girişi'!C30&lt;&gt;""), 'Veri Girişi'!C30, ""), "")</f>
        <v/>
      </c>
      <c r="D30" s="3" t="str">
        <f>IFERROR(IF(AND(ABS('Veri Girişi'!G30)&gt;0.001, 'Veri Girişi'!D30&lt;&gt;""), 'Veri Girişi'!D30, ""), "")</f>
        <v/>
      </c>
      <c r="E30" s="1" t="str">
        <f>IFERROR(IF(AND(ABS('Veri Girişi'!G30)&gt;0.001, 'Veri Girişi'!G30&lt;&gt;""), 'Veri Girişi'!G30, ""), "")</f>
        <v/>
      </c>
      <c r="F30" s="4" t="str">
        <f>IF(AND(ISNUMBER('Veri Girişi'!G30), 'Veri Girişi'!G30&gt;0.001), "Planlanan çıkış sonrası fazla mesai", IF(AND(ISNUMBER('Veri Girişi'!G30), 'Veri Girişi'!G30&lt;-0.001), "Planlanan çıkıştan önce çıkılmış", ""))</f>
        <v/>
      </c>
    </row>
    <row r="31" spans="1:6" ht="13.5" customHeight="1">
      <c r="A31" s="9" t="str">
        <f>IFERROR(IF(AND(ABS('Veri Girişi'!G31)&gt;0.001, 'Veri Girişi'!A31&lt;&gt;""), 'Veri Girişi'!A31, ""), "")</f>
        <v/>
      </c>
      <c r="B31" s="9" t="str">
        <f>IFERROR(IF(AND(ABS('Veri Girişi'!G31)&gt;0.001, 'Veri Girişi'!B31&lt;&gt;""), 'Veri Girişi'!B31, ""), "")</f>
        <v/>
      </c>
      <c r="C31" s="10" t="str">
        <f>IFERROR(IF(AND(ABS('Veri Girişi'!G31)&gt;0.001, 'Veri Girişi'!C31&lt;&gt;""), 'Veri Girişi'!C31, ""), "")</f>
        <v/>
      </c>
      <c r="D31" s="10" t="str">
        <f>IFERROR(IF(AND(ABS('Veri Girişi'!G31)&gt;0.001, 'Veri Girişi'!D31&lt;&gt;""), 'Veri Girişi'!D31, ""), "")</f>
        <v/>
      </c>
      <c r="E31" s="1" t="str">
        <f>IFERROR(IF(AND(ABS('Veri Girişi'!G31)&gt;0.001, 'Veri Girişi'!G31&lt;&gt;""), 'Veri Girişi'!G31, ""), "")</f>
        <v/>
      </c>
      <c r="F31" s="11" t="str">
        <f>IF(AND(ISNUMBER('Veri Girişi'!G31), 'Veri Girişi'!G31&gt;0.001), "Planlanan çıkış sonrası fazla mesai", IF(AND(ISNUMBER('Veri Girişi'!G31), 'Veri Girişi'!G31&lt;-0.001), "Planlanan çıkıştan önce çıkılmış", ""))</f>
        <v/>
      </c>
    </row>
    <row r="32" spans="1:6" ht="13.5" customHeight="1">
      <c r="A32" s="2" t="str">
        <f>IFERROR(IF(AND(ABS('Veri Girişi'!G32)&gt;0.001, 'Veri Girişi'!A32&lt;&gt;""), 'Veri Girişi'!A32, ""), "")</f>
        <v/>
      </c>
      <c r="B32" s="2" t="str">
        <f>IFERROR(IF(AND(ABS('Veri Girişi'!G32)&gt;0.001, 'Veri Girişi'!B32&lt;&gt;""), 'Veri Girişi'!B32, ""), "")</f>
        <v/>
      </c>
      <c r="C32" s="3" t="str">
        <f>IFERROR(IF(AND(ABS('Veri Girişi'!G32)&gt;0.001, 'Veri Girişi'!C32&lt;&gt;""), 'Veri Girişi'!C32, ""), "")</f>
        <v/>
      </c>
      <c r="D32" s="3" t="str">
        <f>IFERROR(IF(AND(ABS('Veri Girişi'!G32)&gt;0.001, 'Veri Girişi'!D32&lt;&gt;""), 'Veri Girişi'!D32, ""), "")</f>
        <v/>
      </c>
      <c r="E32" s="1" t="str">
        <f>IFERROR(IF(AND(ABS('Veri Girişi'!G32)&gt;0.001, 'Veri Girişi'!G32&lt;&gt;""), 'Veri Girişi'!G32, ""), "")</f>
        <v/>
      </c>
      <c r="F32" s="4" t="str">
        <f>IF(AND(ISNUMBER('Veri Girişi'!G32), 'Veri Girişi'!G32&gt;0.001), "Planlanan çıkış sonrası fazla mesai", IF(AND(ISNUMBER('Veri Girişi'!G32), 'Veri Girişi'!G32&lt;-0.001), "Planlanan çıkıştan önce çıkılmış", ""))</f>
        <v/>
      </c>
    </row>
    <row r="33" spans="1:6" ht="13.5" customHeight="1">
      <c r="A33" s="9" t="str">
        <f>IFERROR(IF(AND(ABS('Veri Girişi'!G33)&gt;0.001, 'Veri Girişi'!A33&lt;&gt;""), 'Veri Girişi'!A33, ""), "")</f>
        <v/>
      </c>
      <c r="B33" s="9" t="str">
        <f>IFERROR(IF(AND(ABS('Veri Girişi'!G33)&gt;0.001, 'Veri Girişi'!B33&lt;&gt;""), 'Veri Girişi'!B33, ""), "")</f>
        <v/>
      </c>
      <c r="C33" s="10" t="str">
        <f>IFERROR(IF(AND(ABS('Veri Girişi'!G33)&gt;0.001, 'Veri Girişi'!C33&lt;&gt;""), 'Veri Girişi'!C33, ""), "")</f>
        <v/>
      </c>
      <c r="D33" s="10" t="str">
        <f>IFERROR(IF(AND(ABS('Veri Girişi'!G33)&gt;0.001, 'Veri Girişi'!D33&lt;&gt;""), 'Veri Girişi'!D33, ""), "")</f>
        <v/>
      </c>
      <c r="E33" s="1" t="str">
        <f>IFERROR(IF(AND(ABS('Veri Girişi'!G33)&gt;0.001, 'Veri Girişi'!G33&lt;&gt;""), 'Veri Girişi'!G33, ""), "")</f>
        <v/>
      </c>
      <c r="F33" s="11" t="str">
        <f>IF(AND(ISNUMBER('Veri Girişi'!G33), 'Veri Girişi'!G33&gt;0.001), "Planlanan çıkış sonrası fazla mesai", IF(AND(ISNUMBER('Veri Girişi'!G33), 'Veri Girişi'!G33&lt;-0.001), "Planlanan çıkıştan önce çıkılmış", ""))</f>
        <v/>
      </c>
    </row>
  </sheetData>
  <mergeCells count="1">
    <mergeCell ref="A1:F1"/>
  </mergeCells>
  <conditionalFormatting sqref="A3:F33">
    <cfRule type="expression" dxfId="4" priority="4" stopIfTrue="1">
      <formula>COUNTIF($A3, "*Cumartesi")&gt;0</formula>
    </cfRule>
    <cfRule type="expression" dxfId="3" priority="5">
      <formula>COUNTIF($A3, "*Pazar")&gt;0</formula>
    </cfRule>
  </conditionalFormatting>
  <conditionalFormatting sqref="E3:E33">
    <cfRule type="containsBlanks" dxfId="2" priority="1" stopIfTrue="1">
      <formula>LEN(TRIM(E3))=0</formula>
    </cfRule>
    <cfRule type="cellIs" dxfId="1" priority="2" operator="greaterThan">
      <formula>0.001</formula>
    </cfRule>
    <cfRule type="cellIs" dxfId="0" priority="3" operator="lessThan">
      <formula>-0.001</formula>
    </cfRule>
  </conditionalFormatting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tabSelected="1" zoomScale="188" zoomScaleNormal="188" workbookViewId="0">
      <selection activeCell="B3" sqref="B3"/>
    </sheetView>
  </sheetViews>
  <sheetFormatPr baseColWidth="10" defaultColWidth="9" defaultRowHeight="14.25" customHeight="1"/>
  <cols>
    <col min="1" max="1" width="35.83203125" customWidth="1"/>
    <col min="2" max="2" width="15.33203125" customWidth="1"/>
    <col min="3" max="4" width="22" customWidth="1"/>
    <col min="5" max="5" width="15.5" customWidth="1"/>
    <col min="6" max="6" width="8.83203125" customWidth="1"/>
  </cols>
  <sheetData>
    <row r="1" spans="1:5" ht="28" customHeight="1">
      <c r="A1" s="28" t="s">
        <v>13</v>
      </c>
      <c r="B1" s="29"/>
      <c r="C1" s="30"/>
      <c r="D1" s="30"/>
      <c r="E1" s="30"/>
    </row>
    <row r="2" spans="1:5" ht="25" customHeight="1">
      <c r="A2" s="12" t="s">
        <v>14</v>
      </c>
      <c r="B2" s="13">
        <f>COUNTIF('Veri Girişi'!C3:C33,"&gt;0")</f>
        <v>0</v>
      </c>
    </row>
    <row r="3" spans="1:5" ht="25" customHeight="1">
      <c r="A3" s="12" t="s">
        <v>15</v>
      </c>
      <c r="B3" s="13" cm="1">
        <f t="array" ref="B3">SUM('Veri Girişi'!F3:F33)</f>
        <v>0</v>
      </c>
    </row>
    <row r="4" spans="1:5" ht="25" customHeight="1">
      <c r="A4" s="12" t="s">
        <v>16</v>
      </c>
      <c r="B4" s="13" cm="1">
        <f t="array" ref="B4">SUM('Veri Girişi'!G3:G33)</f>
        <v>0</v>
      </c>
    </row>
    <row r="5" spans="1:5" ht="25" customHeight="1">
      <c r="A5" s="12" t="s">
        <v>17</v>
      </c>
      <c r="B5" s="13" cm="1">
        <f t="array" ref="B5">COUNTIF('Veri Girişi'!G3:G33,"&gt;0")</f>
        <v>0</v>
      </c>
    </row>
    <row r="6" spans="1:5" ht="25" customHeight="1">
      <c r="A6" s="12" t="s">
        <v>18</v>
      </c>
      <c r="B6" s="13" cm="1">
        <f t="array" ref="B6">MAX('Veri Girişi'!G3:G33)</f>
        <v>0</v>
      </c>
    </row>
  </sheetData>
  <mergeCells count="1">
    <mergeCell ref="A1:E1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Veri Girişi</vt:lpstr>
      <vt:lpstr>Fazla Mesai Detayı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Emre BÜLBÜL</cp:lastModifiedBy>
  <dcterms:created xsi:type="dcterms:W3CDTF">2026-06-30T18:39:26Z</dcterms:created>
  <dcterms:modified xsi:type="dcterms:W3CDTF">2026-07-14T15:37:00Z</dcterms:modified>
</cp:coreProperties>
</file>